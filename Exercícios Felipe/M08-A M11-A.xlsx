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24226"/>
  <mc:AlternateContent xmlns:mc="http://schemas.openxmlformats.org/markup-compatibility/2006">
    <mc:Choice Requires="x15">
      <x15ac:absPath xmlns:x15ac="http://schemas.microsoft.com/office/spreadsheetml/2010/11/ac" url="C:\C Planilhas\"/>
    </mc:Choice>
  </mc:AlternateContent>
  <bookViews>
    <workbookView xWindow="170" yWindow="1250" windowWidth="12660" windowHeight="6470" activeTab="1"/>
  </bookViews>
  <sheets>
    <sheet name="M08" sheetId="1" r:id="rId1"/>
    <sheet name="Frequencia" sheetId="2" r:id="rId2"/>
    <sheet name="Aula" sheetId="3" r:id="rId3"/>
  </sheets>
  <definedNames>
    <definedName name="AnoSem">'M08'!$A$5</definedName>
    <definedName name="Curso">'M08'!$A$6</definedName>
    <definedName name="NomeProf">'M08'!$A$4</definedName>
    <definedName name="SiglaDis">'M08'!$A$3</definedName>
  </definedNames>
  <calcPr calcId="162913"/>
</workbook>
</file>

<file path=xl/calcChain.xml><?xml version="1.0" encoding="utf-8"?>
<calcChain xmlns="http://schemas.openxmlformats.org/spreadsheetml/2006/main">
  <c r="J54" i="1" l="1"/>
  <c r="H54" i="1"/>
  <c r="J53" i="1"/>
  <c r="J55" i="1"/>
  <c r="J57" i="1"/>
  <c r="J58" i="1"/>
  <c r="H58" i="1"/>
  <c r="H57" i="1"/>
  <c r="H55" i="1"/>
  <c r="H53" i="1"/>
  <c r="V11" i="1"/>
  <c r="V10" i="1"/>
  <c r="M9" i="1"/>
  <c r="N9" i="1"/>
  <c r="O9" i="1"/>
  <c r="R9" i="1"/>
  <c r="M10" i="1"/>
  <c r="N10" i="1"/>
  <c r="O10" i="1"/>
  <c r="R10" i="1"/>
  <c r="M11" i="1"/>
  <c r="N11" i="1"/>
  <c r="O11" i="1"/>
  <c r="R11" i="1"/>
  <c r="M12" i="1"/>
  <c r="N12" i="1"/>
  <c r="O12" i="1"/>
  <c r="R12" i="1"/>
  <c r="M13" i="1"/>
  <c r="N13" i="1"/>
  <c r="O13" i="1"/>
  <c r="R13" i="1"/>
  <c r="M14" i="1"/>
  <c r="N14" i="1"/>
  <c r="O14" i="1"/>
  <c r="R14" i="1"/>
  <c r="M15" i="1"/>
  <c r="N15" i="1"/>
  <c r="O15" i="1"/>
  <c r="R15" i="1"/>
  <c r="M16" i="1"/>
  <c r="N16" i="1"/>
  <c r="O16" i="1"/>
  <c r="R16" i="1"/>
  <c r="M17" i="1"/>
  <c r="N17" i="1"/>
  <c r="O17" i="1"/>
  <c r="R17" i="1"/>
  <c r="M18" i="1"/>
  <c r="N18" i="1"/>
  <c r="O18" i="1" s="1"/>
  <c r="R18" i="1" s="1"/>
  <c r="M19" i="1"/>
  <c r="N19" i="1"/>
  <c r="O19" i="1"/>
  <c r="R19" i="1"/>
  <c r="M20" i="1"/>
  <c r="N20" i="1"/>
  <c r="O20" i="1"/>
  <c r="R20" i="1"/>
  <c r="M21" i="1"/>
  <c r="O21" i="1" s="1"/>
  <c r="R21" i="1" s="1"/>
  <c r="N21" i="1"/>
  <c r="M22" i="1"/>
  <c r="N22" i="1"/>
  <c r="O22" i="1"/>
  <c r="R22" i="1"/>
  <c r="M23" i="1"/>
  <c r="N23" i="1"/>
  <c r="O23" i="1"/>
  <c r="R23" i="1"/>
  <c r="M24" i="1"/>
  <c r="O24" i="1" s="1"/>
  <c r="R24" i="1" s="1"/>
  <c r="N24" i="1"/>
  <c r="M25" i="1"/>
  <c r="N25" i="1"/>
  <c r="O25" i="1"/>
  <c r="R25" i="1"/>
  <c r="M26" i="1"/>
  <c r="N26" i="1"/>
  <c r="O26" i="1"/>
  <c r="R26" i="1"/>
  <c r="M27" i="1"/>
  <c r="O27" i="1" s="1"/>
  <c r="R27" i="1" s="1"/>
  <c r="N27" i="1"/>
  <c r="M28" i="1"/>
  <c r="N28" i="1"/>
  <c r="O28" i="1"/>
  <c r="R28" i="1"/>
  <c r="M29" i="1"/>
  <c r="N29" i="1"/>
  <c r="O29" i="1"/>
  <c r="R29" i="1"/>
  <c r="M30" i="1"/>
  <c r="O30" i="1" s="1"/>
  <c r="R30" i="1" s="1"/>
  <c r="N30" i="1"/>
  <c r="M31" i="1"/>
  <c r="N31" i="1"/>
  <c r="O31" i="1"/>
  <c r="R31" i="1"/>
  <c r="M32" i="1"/>
  <c r="N32" i="1"/>
  <c r="O32" i="1"/>
  <c r="R32" i="1"/>
  <c r="M33" i="1"/>
  <c r="O33" i="1" s="1"/>
  <c r="R33" i="1" s="1"/>
  <c r="N33" i="1"/>
  <c r="M34" i="1"/>
  <c r="N34" i="1"/>
  <c r="O34" i="1"/>
  <c r="R34" i="1"/>
  <c r="M35" i="1"/>
  <c r="N35" i="1"/>
  <c r="O35" i="1"/>
  <c r="R35" i="1"/>
  <c r="M36" i="1"/>
  <c r="O36" i="1" s="1"/>
  <c r="R36" i="1" s="1"/>
  <c r="N36" i="1"/>
  <c r="M37" i="1"/>
  <c r="N37" i="1"/>
  <c r="O37" i="1"/>
  <c r="R37" i="1"/>
  <c r="M38" i="1"/>
  <c r="N38" i="1"/>
  <c r="O38" i="1"/>
  <c r="R38" i="1"/>
  <c r="M39" i="1"/>
  <c r="O39" i="1" s="1"/>
  <c r="R39" i="1" s="1"/>
  <c r="N39" i="1"/>
  <c r="M40" i="1"/>
  <c r="N40" i="1"/>
  <c r="O40" i="1"/>
  <c r="R40" i="1"/>
  <c r="M41" i="1"/>
  <c r="N41" i="1"/>
  <c r="O41" i="1"/>
  <c r="R41" i="1" s="1"/>
  <c r="M42" i="1"/>
  <c r="O42" i="1" s="1"/>
  <c r="R42" i="1" s="1"/>
  <c r="N42" i="1"/>
  <c r="M43" i="1"/>
  <c r="O43" i="1" s="1"/>
  <c r="R43" i="1" s="1"/>
  <c r="N43" i="1"/>
  <c r="M44" i="1"/>
  <c r="N44" i="1"/>
  <c r="O44" i="1"/>
  <c r="R44" i="1"/>
  <c r="M45" i="1"/>
  <c r="O45" i="1" s="1"/>
  <c r="R45" i="1" s="1"/>
  <c r="N45" i="1"/>
  <c r="M46" i="1"/>
  <c r="N46" i="1"/>
  <c r="O46" i="1"/>
  <c r="R46" i="1" s="1"/>
  <c r="M47" i="1"/>
  <c r="N47" i="1"/>
  <c r="O47" i="1"/>
  <c r="R47" i="1"/>
  <c r="M48" i="1"/>
  <c r="O48" i="1" s="1"/>
  <c r="R48" i="1" s="1"/>
  <c r="N48" i="1"/>
  <c r="M49" i="1"/>
  <c r="O49" i="1" s="1"/>
  <c r="R49" i="1" s="1"/>
  <c r="N49" i="1"/>
  <c r="M50" i="1"/>
  <c r="O50" i="1" s="1"/>
  <c r="R50" i="1" s="1"/>
  <c r="N50" i="1"/>
  <c r="N8" i="1"/>
  <c r="M8" i="1"/>
  <c r="O8" i="1" s="1"/>
  <c r="R8" i="1" s="1"/>
  <c r="J56" i="1" l="1"/>
  <c r="V14" i="1"/>
  <c r="V15" i="1" s="1"/>
  <c r="V8" i="1"/>
  <c r="V9" i="1" s="1"/>
  <c r="H56" i="1"/>
  <c r="C8" i="3"/>
  <c r="C9" i="3" s="1"/>
  <c r="C10" i="3" s="1"/>
  <c r="C11" i="3" s="1"/>
  <c r="C12" i="3" s="1"/>
  <c r="C13" i="3" s="1"/>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DJ47" i="2"/>
  <c r="DI47" i="2"/>
  <c r="DF47" i="2"/>
  <c r="CO47" i="2"/>
  <c r="BX47" i="2"/>
  <c r="BG47" i="2"/>
  <c r="AP47" i="2"/>
  <c r="Y47" i="2"/>
  <c r="DJ38" i="2"/>
  <c r="DI38" i="2"/>
  <c r="DF38" i="2"/>
  <c r="CO38" i="2"/>
  <c r="BX38" i="2"/>
  <c r="BG38" i="2"/>
  <c r="AP38" i="2"/>
  <c r="Y38" i="2"/>
  <c r="DJ45" i="2"/>
  <c r="DI45" i="2"/>
  <c r="DF45" i="2"/>
  <c r="CO45" i="2"/>
  <c r="BX45" i="2"/>
  <c r="BG45" i="2"/>
  <c r="AP45" i="2"/>
  <c r="Y45" i="2"/>
  <c r="DJ44" i="2"/>
  <c r="DI44" i="2"/>
  <c r="DF44" i="2"/>
  <c r="CO44" i="2"/>
  <c r="BX44" i="2"/>
  <c r="BG44" i="2"/>
  <c r="AP44" i="2"/>
  <c r="Y44" i="2"/>
  <c r="DJ41" i="2"/>
  <c r="DI41" i="2"/>
  <c r="DF41" i="2"/>
  <c r="CO41" i="2"/>
  <c r="BX41" i="2"/>
  <c r="BG41" i="2"/>
  <c r="AP41" i="2"/>
  <c r="Y41" i="2"/>
  <c r="DJ40" i="2"/>
  <c r="DI40" i="2"/>
  <c r="DF40" i="2"/>
  <c r="CO40" i="2"/>
  <c r="BX40" i="2"/>
  <c r="BG40" i="2"/>
  <c r="AP40" i="2"/>
  <c r="Y40" i="2"/>
  <c r="DJ39" i="2"/>
  <c r="DI39" i="2"/>
  <c r="DF39" i="2"/>
  <c r="CO39" i="2"/>
  <c r="BX39" i="2"/>
  <c r="BG39" i="2"/>
  <c r="AP39" i="2"/>
  <c r="Y39" i="2"/>
  <c r="DJ43" i="2"/>
  <c r="DI43" i="2"/>
  <c r="DF43" i="2"/>
  <c r="CO43" i="2"/>
  <c r="BX43" i="2"/>
  <c r="BG43" i="2"/>
  <c r="AP43" i="2"/>
  <c r="Y43" i="2"/>
  <c r="DJ42" i="2"/>
  <c r="DI42" i="2"/>
  <c r="DF42" i="2"/>
  <c r="CO42" i="2"/>
  <c r="BX42" i="2"/>
  <c r="BG42" i="2"/>
  <c r="AP42" i="2"/>
  <c r="Y42" i="2"/>
  <c r="DJ37" i="2"/>
  <c r="DI37" i="2"/>
  <c r="DF37" i="2"/>
  <c r="CO37" i="2"/>
  <c r="BX37" i="2"/>
  <c r="BG37" i="2"/>
  <c r="AP37" i="2"/>
  <c r="Y37" i="2"/>
  <c r="DJ46" i="2"/>
  <c r="DI46" i="2"/>
  <c r="DF46" i="2"/>
  <c r="CO46" i="2"/>
  <c r="BX46" i="2"/>
  <c r="BG46" i="2"/>
  <c r="AP46" i="2"/>
  <c r="Y46" i="2"/>
  <c r="DJ27" i="2"/>
  <c r="DI27" i="2"/>
  <c r="DF27" i="2"/>
  <c r="CO27" i="2"/>
  <c r="BX27" i="2"/>
  <c r="BG27" i="2"/>
  <c r="AP27" i="2"/>
  <c r="Y27" i="2"/>
  <c r="DJ24" i="2"/>
  <c r="DI24" i="2"/>
  <c r="DF24" i="2"/>
  <c r="CO24" i="2"/>
  <c r="BX24" i="2"/>
  <c r="BG24" i="2"/>
  <c r="AP24" i="2"/>
  <c r="Y24" i="2"/>
  <c r="DJ21" i="2"/>
  <c r="DI21" i="2"/>
  <c r="DF21" i="2"/>
  <c r="CO21" i="2"/>
  <c r="BX21" i="2"/>
  <c r="BG21" i="2"/>
  <c r="AP21" i="2"/>
  <c r="Y21" i="2"/>
  <c r="DJ22" i="2"/>
  <c r="DI22" i="2"/>
  <c r="DF22" i="2"/>
  <c r="CO22" i="2"/>
  <c r="BX22" i="2"/>
  <c r="BG22" i="2"/>
  <c r="AP22" i="2"/>
  <c r="Y22" i="2"/>
  <c r="DJ16" i="2"/>
  <c r="DI16" i="2"/>
  <c r="DF16" i="2"/>
  <c r="CO16" i="2"/>
  <c r="BX16" i="2"/>
  <c r="BG16" i="2"/>
  <c r="AP16" i="2"/>
  <c r="Y16" i="2"/>
  <c r="DJ15" i="2"/>
  <c r="DI15" i="2"/>
  <c r="DF15" i="2"/>
  <c r="CO15" i="2"/>
  <c r="BX15" i="2"/>
  <c r="BG15" i="2"/>
  <c r="AP15" i="2"/>
  <c r="Y15" i="2"/>
  <c r="DJ17" i="2"/>
  <c r="DI17" i="2"/>
  <c r="DF17" i="2"/>
  <c r="CO17" i="2"/>
  <c r="BX17" i="2"/>
  <c r="BG17" i="2"/>
  <c r="AP17" i="2"/>
  <c r="Y17" i="2"/>
  <c r="DJ26" i="2"/>
  <c r="DI26" i="2"/>
  <c r="DF26" i="2"/>
  <c r="CO26" i="2"/>
  <c r="BX26" i="2"/>
  <c r="BG26" i="2"/>
  <c r="AP26" i="2"/>
  <c r="Y26" i="2"/>
  <c r="DJ10" i="2"/>
  <c r="DI10" i="2"/>
  <c r="DF10" i="2"/>
  <c r="CO10" i="2"/>
  <c r="BX10" i="2"/>
  <c r="BG10" i="2"/>
  <c r="AP10" i="2"/>
  <c r="Y10" i="2"/>
  <c r="DJ31" i="2"/>
  <c r="DI31" i="2"/>
  <c r="DF31" i="2"/>
  <c r="CO31" i="2"/>
  <c r="BX31" i="2"/>
  <c r="BG31" i="2"/>
  <c r="AP31" i="2"/>
  <c r="Y31" i="2"/>
  <c r="DJ30" i="2"/>
  <c r="DI30" i="2"/>
  <c r="DF30" i="2"/>
  <c r="CO30" i="2"/>
  <c r="BX30" i="2"/>
  <c r="BG30" i="2"/>
  <c r="AP30" i="2"/>
  <c r="Y30" i="2"/>
  <c r="DJ32" i="2"/>
  <c r="DI32" i="2"/>
  <c r="DF32" i="2"/>
  <c r="CO32" i="2"/>
  <c r="BX32" i="2"/>
  <c r="BG32" i="2"/>
  <c r="AP32" i="2"/>
  <c r="Y32" i="2"/>
  <c r="DJ35" i="2"/>
  <c r="DI35" i="2"/>
  <c r="DF35" i="2"/>
  <c r="CO35" i="2"/>
  <c r="BX35" i="2"/>
  <c r="BG35" i="2"/>
  <c r="AP35" i="2"/>
  <c r="Y35" i="2"/>
  <c r="DJ8" i="2"/>
  <c r="DI8" i="2"/>
  <c r="DF8" i="2"/>
  <c r="CO8" i="2"/>
  <c r="BX8" i="2"/>
  <c r="BG8" i="2"/>
  <c r="AP8" i="2"/>
  <c r="Y8" i="2"/>
  <c r="DJ14" i="2"/>
  <c r="DI14" i="2"/>
  <c r="DF14" i="2"/>
  <c r="CO14" i="2"/>
  <c r="BX14" i="2"/>
  <c r="BG14" i="2"/>
  <c r="AP14" i="2"/>
  <c r="Y14" i="2"/>
  <c r="DJ25" i="2"/>
  <c r="DI25" i="2"/>
  <c r="DF25" i="2"/>
  <c r="CO25" i="2"/>
  <c r="BX25" i="2"/>
  <c r="BG25" i="2"/>
  <c r="AP25" i="2"/>
  <c r="Y25" i="2"/>
  <c r="DJ11" i="2"/>
  <c r="DI11" i="2"/>
  <c r="DF11" i="2"/>
  <c r="CO11" i="2"/>
  <c r="BX11" i="2"/>
  <c r="BG11" i="2"/>
  <c r="AP11" i="2"/>
  <c r="Y11" i="2"/>
  <c r="DJ33" i="2"/>
  <c r="DI33" i="2"/>
  <c r="DF33" i="2"/>
  <c r="CO33" i="2"/>
  <c r="BX33" i="2"/>
  <c r="BG33" i="2"/>
  <c r="AP33" i="2"/>
  <c r="Y33" i="2"/>
  <c r="DJ23" i="2"/>
  <c r="DI23" i="2"/>
  <c r="DF23" i="2"/>
  <c r="CO23" i="2"/>
  <c r="BX23" i="2"/>
  <c r="BG23" i="2"/>
  <c r="AP23" i="2"/>
  <c r="Y23" i="2"/>
  <c r="DJ19" i="2"/>
  <c r="DI19" i="2"/>
  <c r="DF19" i="2"/>
  <c r="CO19" i="2"/>
  <c r="BX19" i="2"/>
  <c r="BG19" i="2"/>
  <c r="AP19" i="2"/>
  <c r="Y19" i="2"/>
  <c r="DJ18" i="2"/>
  <c r="DI18" i="2"/>
  <c r="DF18" i="2"/>
  <c r="CO18" i="2"/>
  <c r="BX18" i="2"/>
  <c r="BG18" i="2"/>
  <c r="AP18" i="2"/>
  <c r="Y18" i="2"/>
  <c r="DJ34" i="2"/>
  <c r="DI34" i="2"/>
  <c r="DF34" i="2"/>
  <c r="CO34" i="2"/>
  <c r="BX34" i="2"/>
  <c r="BG34" i="2"/>
  <c r="AP34" i="2"/>
  <c r="Y34" i="2"/>
  <c r="DJ29" i="2"/>
  <c r="DI29" i="2"/>
  <c r="DF29" i="2"/>
  <c r="CO29" i="2"/>
  <c r="BX29" i="2"/>
  <c r="BG29" i="2"/>
  <c r="AP29" i="2"/>
  <c r="Y29" i="2"/>
  <c r="DJ28" i="2"/>
  <c r="DI28" i="2"/>
  <c r="DF28" i="2"/>
  <c r="CO28" i="2"/>
  <c r="BX28" i="2"/>
  <c r="BG28" i="2"/>
  <c r="AP28" i="2"/>
  <c r="Y28" i="2"/>
  <c r="DJ36" i="2"/>
  <c r="DI36" i="2"/>
  <c r="DF36" i="2"/>
  <c r="CO36" i="2"/>
  <c r="BX36" i="2"/>
  <c r="BG36" i="2"/>
  <c r="AP36" i="2"/>
  <c r="Y36" i="2"/>
  <c r="DJ9" i="2"/>
  <c r="DI9" i="2"/>
  <c r="DF9" i="2"/>
  <c r="CO9" i="2"/>
  <c r="BX9" i="2"/>
  <c r="BG9" i="2"/>
  <c r="AP9" i="2"/>
  <c r="Y9" i="2"/>
  <c r="DJ20" i="2"/>
  <c r="DI20" i="2"/>
  <c r="DF20" i="2"/>
  <c r="CO20" i="2"/>
  <c r="BX20" i="2"/>
  <c r="BG20" i="2"/>
  <c r="AP20" i="2"/>
  <c r="Y20" i="2"/>
  <c r="DJ12" i="2"/>
  <c r="DI12" i="2"/>
  <c r="DF12" i="2"/>
  <c r="CO12" i="2"/>
  <c r="BX12" i="2"/>
  <c r="BG12" i="2"/>
  <c r="AP12" i="2"/>
  <c r="Y12" i="2"/>
  <c r="DJ13" i="2"/>
  <c r="DI13" i="2"/>
  <c r="T2" i="2"/>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Y13" i="2"/>
  <c r="AP13" i="2"/>
  <c r="BG13" i="2"/>
  <c r="BX13" i="2"/>
  <c r="CO13" i="2"/>
  <c r="DF13" i="2"/>
  <c r="DH39" i="2" l="1"/>
  <c r="DK39" i="2" s="1"/>
  <c r="DH18" i="2"/>
  <c r="DK18" i="2" s="1"/>
  <c r="DH33" i="2"/>
  <c r="DK33" i="2" s="1"/>
  <c r="DH14" i="2"/>
  <c r="DK14" i="2" s="1"/>
  <c r="DH32" i="2"/>
  <c r="DK32" i="2" s="1"/>
  <c r="DH42" i="2"/>
  <c r="DK42" i="2" s="1"/>
  <c r="DH40" i="2"/>
  <c r="DK40" i="2" s="1"/>
  <c r="DH45" i="2"/>
  <c r="DK45" i="2" s="1"/>
  <c r="DH47" i="2"/>
  <c r="DK47" i="2" s="1"/>
  <c r="DH13" i="2"/>
  <c r="DK13" i="2" s="1"/>
  <c r="DH20" i="2"/>
  <c r="DK20" i="2" s="1"/>
  <c r="DH28" i="2"/>
  <c r="DK28" i="2" s="1"/>
  <c r="DH34" i="2"/>
  <c r="DK34" i="2" s="1"/>
  <c r="DH29" i="2"/>
  <c r="DK29" i="2" s="1"/>
  <c r="DH43" i="2"/>
  <c r="DK43" i="2" s="1"/>
  <c r="DH27" i="2"/>
  <c r="DK27" i="2" s="1"/>
  <c r="DH31" i="2"/>
  <c r="DK31" i="2" s="1"/>
  <c r="DH24" i="2"/>
  <c r="DK24" i="2" s="1"/>
  <c r="DH9" i="2"/>
  <c r="DK9" i="2" s="1"/>
  <c r="DH17" i="2"/>
  <c r="DK17" i="2" s="1"/>
  <c r="DH22" i="2"/>
  <c r="DK22" i="2" s="1"/>
  <c r="DH37" i="2"/>
  <c r="DK37" i="2" s="1"/>
  <c r="DH12" i="2"/>
  <c r="DK12" i="2" s="1"/>
  <c r="DH19" i="2"/>
  <c r="DK19" i="2" s="1"/>
  <c r="DH11" i="2"/>
  <c r="DK11" i="2" s="1"/>
  <c r="DH8" i="2"/>
  <c r="DK8" i="2" s="1"/>
  <c r="DH30" i="2"/>
  <c r="DK30" i="2" s="1"/>
  <c r="DH26" i="2"/>
  <c r="DK26" i="2" s="1"/>
  <c r="DH16" i="2"/>
  <c r="DK16" i="2" s="1"/>
  <c r="DH44" i="2"/>
  <c r="DK44" i="2" s="1"/>
  <c r="DH36" i="2"/>
  <c r="DK36" i="2" s="1"/>
  <c r="DH23" i="2"/>
  <c r="DK23" i="2" s="1"/>
  <c r="DH10" i="2"/>
  <c r="DK10" i="2" s="1"/>
  <c r="DH46" i="2"/>
  <c r="DK46" i="2" s="1"/>
  <c r="DH15" i="2"/>
  <c r="DK15" i="2" s="1"/>
  <c r="DH38" i="2"/>
  <c r="DK38" i="2" s="1"/>
  <c r="DH25" i="2"/>
  <c r="DK25" i="2" s="1"/>
  <c r="DH35" i="2"/>
  <c r="DK35" i="2" s="1"/>
  <c r="DH21" i="2"/>
  <c r="DK21" i="2" s="1"/>
  <c r="DH41" i="2"/>
  <c r="DK41" i="2" s="1"/>
</calcChain>
</file>

<file path=xl/comments1.xml><?xml version="1.0" encoding="utf-8"?>
<comments xmlns="http://schemas.openxmlformats.org/spreadsheetml/2006/main">
  <authors>
    <author>Dayan Adionel Guimarães</author>
    <author>INATEL</author>
  </authors>
  <commentList>
    <comment ref="J2" authorId="0" shapeId="0">
      <text>
        <r>
          <rPr>
            <sz val="8"/>
            <color indexed="81"/>
            <rFont val="Tahoma"/>
            <family val="2"/>
          </rPr>
          <t>Carga horária Efetiva da disciplina no semestre.
Esta coluna é baseada no somatório da coluna "aulas do dia" da aba aulas</t>
        </r>
      </text>
    </comment>
    <comment ref="J3" authorId="0" shapeId="0">
      <text>
        <r>
          <rPr>
            <sz val="8"/>
            <color indexed="81"/>
            <rFont val="Tahoma"/>
            <family val="2"/>
          </rPr>
          <t xml:space="preserve">Carga horária total da disciplina no semestre.
</t>
        </r>
      </text>
    </comment>
    <comment ref="G6" authorId="1" shapeId="0">
      <text>
        <r>
          <rPr>
            <b/>
            <sz val="8"/>
            <color indexed="81"/>
            <rFont val="Tahoma"/>
            <family val="2"/>
          </rPr>
          <t>Total de Justificativa.</t>
        </r>
        <r>
          <rPr>
            <sz val="8"/>
            <color indexed="81"/>
            <rFont val="Tahoma"/>
            <family val="2"/>
          </rPr>
          <t xml:space="preserve">
Esta coluna é atualizada automaticamente pelo sistema</t>
        </r>
      </text>
    </comment>
    <comment ref="H6" authorId="1" shapeId="0">
      <text>
        <r>
          <rPr>
            <b/>
            <sz val="8"/>
            <color indexed="81"/>
            <rFont val="Tahoma"/>
            <family val="2"/>
          </rPr>
          <t xml:space="preserve">Total de Faltas de Laboratório.
</t>
        </r>
        <r>
          <rPr>
            <sz val="8"/>
            <color indexed="81"/>
            <rFont val="Tahoma"/>
            <family val="2"/>
          </rPr>
          <t>Esta coluna é atualizada automaticamente pelo sistema</t>
        </r>
      </text>
    </comment>
    <comment ref="J6" authorId="0" shapeId="0">
      <text>
        <r>
          <rPr>
            <sz val="8"/>
            <color indexed="81"/>
            <rFont val="Tahoma"/>
            <family val="2"/>
          </rPr>
          <t>No cruzamento do nome do aluno com o dia de aula coloque o número correspondente às faltas. Deixe em branco no caso de presença.</t>
        </r>
      </text>
    </comment>
    <comment ref="AA6" authorId="0" shapeId="0">
      <text>
        <r>
          <rPr>
            <sz val="8"/>
            <color indexed="81"/>
            <rFont val="Tahoma"/>
            <family val="2"/>
          </rPr>
          <t>No cruzamento do nome do aluno com o dia de aula coloque o número correspondente às faltas. Deixe em branco no caso de presença.</t>
        </r>
      </text>
    </comment>
    <comment ref="AR6" authorId="0" shapeId="0">
      <text>
        <r>
          <rPr>
            <sz val="8"/>
            <color indexed="81"/>
            <rFont val="Tahoma"/>
            <family val="2"/>
          </rPr>
          <t>No cruzamento do nome do aluno com o dia de aula coloque o número correspondente às faltas. Deixe em branco no caso de presença.</t>
        </r>
      </text>
    </comment>
    <comment ref="BI6" authorId="0" shapeId="0">
      <text>
        <r>
          <rPr>
            <sz val="8"/>
            <color indexed="81"/>
            <rFont val="Tahoma"/>
            <family val="2"/>
          </rPr>
          <t>No cruzamento do nome do aluno com o dia de aula coloque o número correspondente às faltas. Deixe em branco no caso de presença.</t>
        </r>
      </text>
    </comment>
    <comment ref="BZ6" authorId="0" shapeId="0">
      <text>
        <r>
          <rPr>
            <sz val="8"/>
            <color indexed="81"/>
            <rFont val="Tahoma"/>
            <family val="2"/>
          </rPr>
          <t>No cruzamento do nome do aluno com o dia de aula coloque o número correspondente às faltas. Deixe em branco no caso de presença.</t>
        </r>
      </text>
    </comment>
    <comment ref="CQ6" authorId="0" shapeId="0">
      <text>
        <r>
          <rPr>
            <sz val="8"/>
            <color indexed="81"/>
            <rFont val="Tahoma"/>
            <family val="2"/>
          </rPr>
          <t>No cruzamento do nome do aluno com o dia de aula coloque o número correspondente às faltas. Deixe em branco no caso de presença.</t>
        </r>
      </text>
    </comment>
    <comment ref="DH6" authorId="0" shapeId="0">
      <text>
        <r>
          <rPr>
            <sz val="8"/>
            <color indexed="81"/>
            <rFont val="Tahoma"/>
            <family val="2"/>
          </rPr>
          <t>A coluna da esquerda fornece o número total de faltas no semestre.
A coluna central fornece o total de faltas do aluno nas turmas de laboratório.
A coluna da direita fornece o número de justificativas de falta processadas pela SRA ao longo do semestre.</t>
        </r>
        <r>
          <rPr>
            <sz val="8"/>
            <color indexed="81"/>
            <rFont val="Tahoma"/>
            <family val="2"/>
          </rPr>
          <t xml:space="preserve">
</t>
        </r>
      </text>
    </comment>
    <comment ref="Y7" authorId="0" shapeId="0">
      <text>
        <r>
          <rPr>
            <b/>
            <sz val="8"/>
            <color indexed="81"/>
            <rFont val="Tahoma"/>
            <family val="2"/>
          </rPr>
          <t>SOMA DAS FALTAS DO MÊS</t>
        </r>
        <r>
          <rPr>
            <sz val="8"/>
            <color indexed="81"/>
            <rFont val="Tahoma"/>
            <family val="2"/>
          </rPr>
          <t xml:space="preserve">
</t>
        </r>
      </text>
    </comment>
    <comment ref="AP7" authorId="0" shapeId="0">
      <text>
        <r>
          <rPr>
            <b/>
            <sz val="8"/>
            <color indexed="81"/>
            <rFont val="Tahoma"/>
            <family val="2"/>
          </rPr>
          <t>SOMA DAS FALTAS DO MÊS</t>
        </r>
        <r>
          <rPr>
            <sz val="8"/>
            <color indexed="81"/>
            <rFont val="Tahoma"/>
            <family val="2"/>
          </rPr>
          <t xml:space="preserve">
</t>
        </r>
      </text>
    </comment>
    <comment ref="BG7" authorId="0" shapeId="0">
      <text>
        <r>
          <rPr>
            <b/>
            <sz val="8"/>
            <color indexed="81"/>
            <rFont val="Tahoma"/>
            <family val="2"/>
          </rPr>
          <t>SOMA DAS FALTAS DO MÊS</t>
        </r>
        <r>
          <rPr>
            <sz val="8"/>
            <color indexed="81"/>
            <rFont val="Tahoma"/>
            <family val="2"/>
          </rPr>
          <t xml:space="preserve">
</t>
        </r>
      </text>
    </comment>
    <comment ref="BX7" authorId="0" shapeId="0">
      <text>
        <r>
          <rPr>
            <b/>
            <sz val="8"/>
            <color indexed="81"/>
            <rFont val="Tahoma"/>
            <family val="2"/>
          </rPr>
          <t>SOMA DAS FALTAS DO MÊS</t>
        </r>
        <r>
          <rPr>
            <sz val="8"/>
            <color indexed="81"/>
            <rFont val="Tahoma"/>
            <family val="2"/>
          </rPr>
          <t xml:space="preserve">
</t>
        </r>
      </text>
    </comment>
    <comment ref="CO7" authorId="0" shapeId="0">
      <text>
        <r>
          <rPr>
            <b/>
            <sz val="8"/>
            <color indexed="81"/>
            <rFont val="Tahoma"/>
            <family val="2"/>
          </rPr>
          <t>SOMA DAS FALTAS DO MÊS</t>
        </r>
        <r>
          <rPr>
            <sz val="8"/>
            <color indexed="81"/>
            <rFont val="Tahoma"/>
            <family val="2"/>
          </rPr>
          <t xml:space="preserve">
</t>
        </r>
      </text>
    </comment>
    <comment ref="DF7" authorId="0" shapeId="0">
      <text>
        <r>
          <rPr>
            <b/>
            <sz val="8"/>
            <color indexed="81"/>
            <rFont val="Tahoma"/>
            <family val="2"/>
          </rPr>
          <t>SOMA DAS FALTAS DO MÊS</t>
        </r>
        <r>
          <rPr>
            <sz val="8"/>
            <color indexed="81"/>
            <rFont val="Tahoma"/>
            <family val="2"/>
          </rPr>
          <t xml:space="preserve">
</t>
        </r>
      </text>
    </comment>
  </commentList>
</comments>
</file>

<file path=xl/sharedStrings.xml><?xml version="1.0" encoding="utf-8"?>
<sst xmlns="http://schemas.openxmlformats.org/spreadsheetml/2006/main" count="369" uniqueCount="147">
  <si>
    <t>CONTROLE DE NOTAS</t>
  </si>
  <si>
    <t>Curso</t>
  </si>
  <si>
    <t>Período</t>
  </si>
  <si>
    <t>Matrícula</t>
  </si>
  <si>
    <t>Handle</t>
  </si>
  <si>
    <t>Aluno</t>
  </si>
  <si>
    <t>CONTROLE DE FREQÜÊNCIA</t>
  </si>
  <si>
    <t>Carga horária efetiva</t>
  </si>
  <si>
    <t>Carga horária estimada</t>
  </si>
  <si>
    <t>J</t>
  </si>
  <si>
    <t>Per.</t>
  </si>
  <si>
    <t>Matricula</t>
  </si>
  <si>
    <t>S</t>
  </si>
  <si>
    <t>Faltas</t>
  </si>
  <si>
    <t>Justificativas</t>
  </si>
  <si>
    <t>CONTROLE DE AULAS</t>
  </si>
  <si>
    <t>Link para o Portal Universitário</t>
  </si>
  <si>
    <t>Data</t>
  </si>
  <si>
    <t>Aulas do dia</t>
  </si>
  <si>
    <t>Aulas acumuldadas</t>
  </si>
  <si>
    <t>Conteúdo ministrado</t>
  </si>
  <si>
    <t>L</t>
  </si>
  <si>
    <t>Faltas de Lab.</t>
  </si>
  <si>
    <t>Total</t>
  </si>
  <si>
    <t>Resultado global de Faltas</t>
  </si>
  <si>
    <t>NP1</t>
  </si>
  <si>
    <t>NP2</t>
  </si>
  <si>
    <t>Média Parcial</t>
  </si>
  <si>
    <t>NP3</t>
  </si>
  <si>
    <t>M08 A  - Probabilidade e Processos Estocásticos / M11 A  - Probabilidade e Processos Estocásticos</t>
  </si>
  <si>
    <t>Professor : Renan Sthel Duque</t>
  </si>
  <si>
    <t>2o. Semestre de 2025</t>
  </si>
  <si>
    <t>GEC</t>
  </si>
  <si>
    <t>Danilo Henrique Maia da Silva</t>
  </si>
  <si>
    <t>GECN</t>
  </si>
  <si>
    <t>Daniele Letícia Pereira Sousa</t>
  </si>
  <si>
    <t>Isabelle Caroline Pereira</t>
  </si>
  <si>
    <t>André Rocha de Mesquita</t>
  </si>
  <si>
    <t>Ygor Silva Costa</t>
  </si>
  <si>
    <t>Pedro César Maia</t>
  </si>
  <si>
    <t>Donatto Pieve Costa Campos</t>
  </si>
  <si>
    <t>Pedro Consoli Bressan</t>
  </si>
  <si>
    <t>Tiago Rodrigues Gregório</t>
  </si>
  <si>
    <t>Guilherme Oliveira e Brito</t>
  </si>
  <si>
    <t>Igor Nogueira Olívio</t>
  </si>
  <si>
    <t>Kauã Victor Garcia Siécola</t>
  </si>
  <si>
    <t>Tiago Augusto Costa Carvalho</t>
  </si>
  <si>
    <t>Daniela Maria Barbosa Faria</t>
  </si>
  <si>
    <t>Leonardo Santos Pereira</t>
  </si>
  <si>
    <t>GEB</t>
  </si>
  <si>
    <t>Eduardo Filhagosa Guimarães</t>
  </si>
  <si>
    <t>Alexandre Mendes de Oliveira</t>
  </si>
  <si>
    <t>Victor Laragnoit Costa</t>
  </si>
  <si>
    <t>GEBN</t>
  </si>
  <si>
    <t>Rayanny da Silva Cupertino</t>
  </si>
  <si>
    <t>GET</t>
  </si>
  <si>
    <t>Pedro Leite de Souza Andrade</t>
  </si>
  <si>
    <t>GETN</t>
  </si>
  <si>
    <t>Pedro Lucas Freitas Correia</t>
  </si>
  <si>
    <t>Bruno Rezende Higino de Cuba</t>
  </si>
  <si>
    <t>Lucas Schuller de Toledo</t>
  </si>
  <si>
    <t>Gean Manoel Valcanti Teles</t>
  </si>
  <si>
    <t>GEA</t>
  </si>
  <si>
    <t>Enzo Rodrigues Ribeiro Lemos</t>
  </si>
  <si>
    <t>Fábio Tonelo Pinto de Castro</t>
  </si>
  <si>
    <t>GEAN</t>
  </si>
  <si>
    <t>José Paulo Costa Rosas</t>
  </si>
  <si>
    <t>João Vitor Gomes Silva</t>
  </si>
  <si>
    <t>Mateus Alexandre Silva da Silveira</t>
  </si>
  <si>
    <t>Lara Reginaldo Vilaça</t>
  </si>
  <si>
    <t>Maria Eduarda Ribeiro Teixeira</t>
  </si>
  <si>
    <t>GES</t>
  </si>
  <si>
    <t>Samuel Marques da Silva</t>
  </si>
  <si>
    <t>GESN</t>
  </si>
  <si>
    <t>Caio Rodrigues Couto</t>
  </si>
  <si>
    <t>Isabella Santos Fagundes</t>
  </si>
  <si>
    <t>Júlia do Amaral Vicentini</t>
  </si>
  <si>
    <t>Gabriel Cerantola Rigatto Moras</t>
  </si>
  <si>
    <t>Guilherme Souza Emergente</t>
  </si>
  <si>
    <t>Henrique Junqueira Bicalho</t>
  </si>
  <si>
    <t>Ramirez Wallace Villela Santos da Silva</t>
  </si>
  <si>
    <t>Rômulo Cabral de Magalhães</t>
  </si>
  <si>
    <t>Eduardo Melo Bertozzi</t>
  </si>
  <si>
    <t>Fernando Faluxis Siqueira Pereira</t>
  </si>
  <si>
    <t>Sofia Nogueira Groke</t>
  </si>
  <si>
    <t>Conceitos básicos da teoria de probabilidade. Modelos determinísticos e probabilísticos. Revisão da teoria de conjuntos. Experimento aleatório, espaço amostral, eventos.</t>
  </si>
  <si>
    <t>Definições de probabilidade. Teoremas de probabilidade. Probabilidade conjunta. Probabilidade condicional.</t>
  </si>
  <si>
    <t>Teorema da probabilidade total. Teorema de Bayes.</t>
  </si>
  <si>
    <t>Análise de confiabilidade. Diagramas de árvore. Aplicações.</t>
  </si>
  <si>
    <t xml:space="preserve">Variáveis aleatórias. Definição e classificação de variáveis aleatórias. Função de distribuição cumulativa e propriedades. </t>
  </si>
  <si>
    <t>Função massa de probabilidade. Função densidade de probabilidade e propriedades.</t>
  </si>
  <si>
    <t>Variáveis aleatórias múltiplas. Funções de probabilidade conjuntas.</t>
  </si>
  <si>
    <t xml:space="preserve">Funções de variáveis aleatórias. </t>
  </si>
  <si>
    <t>Médias estatísticas de variáveis aleatórias. Média de uma variável aleatória.  Média de uma função de uma variável aleatória.</t>
  </si>
  <si>
    <t>Médias para variáveis aleatórias múltiplas. Propriedades da média de variáveis aleatórias.</t>
  </si>
  <si>
    <t>Momentos. Variância e desvio padrão. Momentos conjuntos.</t>
  </si>
  <si>
    <t>Função característica.</t>
  </si>
  <si>
    <t>Distribuições especiais de probabilidade. Distribuição de Bernoulli. Distribuição binomial. Distribuição de Poisson.</t>
  </si>
  <si>
    <t>Distribuição uniforme. Distribuição exponencial.</t>
  </si>
  <si>
    <t>Distribuição gaussiana. Distribuição de Rayleigh. Teorema do limite central.</t>
  </si>
  <si>
    <t>Processos Estocásticos. Definições e exemplos. Médias estatísticas de processos estocásticos.</t>
  </si>
  <si>
    <t>Participação na feira tecnológica do Inatel.</t>
  </si>
  <si>
    <t>Função de autocorrelação de processos estocásticos.</t>
  </si>
  <si>
    <t>Classificação de processos estocásticos. Estacionariedade de processos estocásticos.</t>
  </si>
  <si>
    <t>Médias temporais de processos estocásticos e teorema de ergodicidade.</t>
  </si>
  <si>
    <t>Processamento de sinais aleatórios. Densidade espectral de potência de um processo estocástico.</t>
  </si>
  <si>
    <t>Resposta dos sistemas lineares e invariantes no tempo aos processos estocásticos.</t>
  </si>
  <si>
    <t>Ruído branco Gaussiano.</t>
  </si>
  <si>
    <t>Cadeias de Markov. Cadeias de Markov discretas no tempo: definições. Cadeias de Markov discretas no tempo: probabilidade de um caminho, probabilidade de transição em n passos.</t>
  </si>
  <si>
    <t>Vetor de probabilidade dos estados de passo 1. Vetor de probabilidade dos estados de passo n.</t>
  </si>
  <si>
    <t>Comportamento de uma cadeia de Markov em regime permanente.</t>
  </si>
  <si>
    <t xml:space="preserve">Introdução à teoria de filas. Elementos de um sistema de filas. </t>
  </si>
  <si>
    <t>Fila M/M/1.</t>
  </si>
  <si>
    <t>Fila M/M/1/N-1/N.</t>
  </si>
  <si>
    <t>Fila M/M/N/0.</t>
  </si>
  <si>
    <t xml:space="preserve">Fila M/M/m. </t>
  </si>
  <si>
    <t>Fila M/M/m/J/K.</t>
  </si>
  <si>
    <t>Fila M/G/1.</t>
  </si>
  <si>
    <t>Filas com prioridades.</t>
  </si>
  <si>
    <t>Filas com população finita.</t>
  </si>
  <si>
    <t>Filas com multiserviços.</t>
  </si>
  <si>
    <t>Redes de filas.</t>
  </si>
  <si>
    <t>Festa dos alunos</t>
  </si>
  <si>
    <t>Fetin</t>
  </si>
  <si>
    <t>EX1</t>
  </si>
  <si>
    <t>P1</t>
  </si>
  <si>
    <t>Ex2</t>
  </si>
  <si>
    <t>P2</t>
  </si>
  <si>
    <t>SUB</t>
  </si>
  <si>
    <t>FAZERNP3</t>
  </si>
  <si>
    <t>Média Final</t>
  </si>
  <si>
    <t xml:space="preserve"> </t>
  </si>
  <si>
    <t>M08-A M11-A</t>
  </si>
  <si>
    <t>Aprovados:</t>
  </si>
  <si>
    <t>Reprovados:</t>
  </si>
  <si>
    <t>NP3:</t>
  </si>
  <si>
    <t xml:space="preserve">SUB: </t>
  </si>
  <si>
    <t>Depois da NP3</t>
  </si>
  <si>
    <t>Resultados de M008-A M11-A</t>
  </si>
  <si>
    <t>Média</t>
  </si>
  <si>
    <t>Desvio padrão</t>
  </si>
  <si>
    <t>Notas acima de 60</t>
  </si>
  <si>
    <t>Notas entre 30 e 60</t>
  </si>
  <si>
    <t>Notas abaixo de 30</t>
  </si>
  <si>
    <t>Não compareceram</t>
  </si>
  <si>
    <t>Total de alunos</t>
  </si>
  <si>
    <t>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</si>
</sst>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16]mmmm\-yy;@"/>
    <numFmt numFmtId="165" formatCode="00"/>
  </numFmts>
  <fonts count="25" x14ac:knownFonts="1">
    <font>
      <sz val="11"/>
      <color theme="1"/>
      <name val="Calibri"/>
      <family val="2"/>
      <scheme val="minor"/>
    </font>
    <font>
      <b/>
      <sz val="10"/>
      <name val="Arial"/>
      <family val="2"/>
    </font>
    <font>
      <b/>
      <sz val="12"/>
      <name val="Arial"/>
      <family val="2"/>
    </font>
    <font>
      <b/>
      <sz val="12"/>
      <name val="Arial"/>
      <family val="2"/>
    </font>
    <font>
      <sz val="10"/>
      <name val="Arial"/>
      <family val="2"/>
    </font>
    <font>
      <b/>
      <sz val="8"/>
      <name val="Arial"/>
      <family val="2"/>
    </font>
    <font>
      <sz val="10"/>
      <name val="Arial"/>
      <family val="2"/>
    </font>
    <font>
      <b/>
      <sz val="10"/>
      <name val="Arial"/>
      <family val="2"/>
    </font>
    <font>
      <b/>
      <sz val="10"/>
      <color indexed="10"/>
      <name val="Symbol"/>
      <family val="1"/>
      <charset val="2"/>
    </font>
    <font>
      <sz val="10"/>
      <color indexed="8"/>
      <name val="Arial"/>
      <family val="2"/>
    </font>
    <font>
      <b/>
      <sz val="10"/>
      <color indexed="10"/>
      <name val="Arial"/>
      <family val="2"/>
    </font>
    <font>
      <b/>
      <sz val="10"/>
      <color indexed="12"/>
      <name val="Arial"/>
      <family val="2"/>
    </font>
    <font>
      <sz val="8"/>
      <color indexed="81"/>
      <name val="Tahoma"/>
      <family val="2"/>
    </font>
    <font>
      <b/>
      <sz val="8"/>
      <color indexed="81"/>
      <name val="Tahoma"/>
      <family val="2"/>
    </font>
    <font>
      <b/>
      <u/>
      <sz val="10"/>
      <color indexed="12"/>
      <name val="Arial"/>
      <family val="2"/>
    </font>
    <font>
      <u/>
      <sz val="10"/>
      <color indexed="12"/>
      <name val="Arial"/>
      <family val="2"/>
    </font>
    <font>
      <sz val="10"/>
      <color indexed="12"/>
      <name val="Arial"/>
      <family val="2"/>
    </font>
    <font>
      <b/>
      <sz val="10"/>
      <color rgb="FF0000FF"/>
      <name val="Arial"/>
      <family val="2"/>
      <charset val="1"/>
    </font>
    <font>
      <sz val="11"/>
      <name val="Calibri"/>
      <family val="2"/>
      <scheme val="minor"/>
    </font>
    <font>
      <b/>
      <sz val="10"/>
      <name val="Arial"/>
      <family val="2"/>
      <charset val="1"/>
    </font>
    <font>
      <b/>
      <sz val="10"/>
      <color rgb="FFFF0000"/>
      <name val="Arial"/>
      <family val="2"/>
    </font>
    <font>
      <b/>
      <sz val="11"/>
      <color theme="1"/>
      <name val="Calibri"/>
      <family val="2"/>
      <scheme val="minor"/>
    </font>
    <font>
      <sz val="11"/>
      <color rgb="FFFF0000"/>
      <name val="Calibri"/>
      <family val="2"/>
      <scheme val="minor"/>
    </font>
    <font>
      <sz val="10"/>
      <color rgb="FFFF0000"/>
      <name val="Arial"/>
      <family val="2"/>
    </font>
    <font>
      <b/>
      <sz val="10"/>
      <color rgb="FFFF0000"/>
      <name val="Arial"/>
      <family val="2"/>
      <charset val="1"/>
    </font>
  </fonts>
  <fills count="14">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theme="3" tint="0.79998168889431442"/>
        <bgColor indexed="64"/>
      </patternFill>
    </fill>
    <fill>
      <patternFill patternType="solid">
        <fgColor rgb="FFC6D9F1"/>
        <bgColor rgb="FFDCE6F2"/>
      </patternFill>
    </fill>
    <fill>
      <patternFill patternType="solid">
        <fgColor theme="7" tint="0.79998168889431442"/>
        <bgColor indexed="64"/>
      </patternFill>
    </fill>
    <fill>
      <patternFill patternType="solid">
        <fgColor rgb="FFE6E0EC"/>
        <bgColor rgb="FFDCE6F2"/>
      </patternFill>
    </fill>
    <fill>
      <patternFill patternType="solid">
        <fgColor rgb="FFFFFF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ck">
        <color auto="1"/>
      </top>
      <bottom/>
      <diagonal/>
    </border>
    <border>
      <left style="thin">
        <color indexed="64"/>
      </left>
      <right style="thin">
        <color indexed="64"/>
      </right>
      <top style="thick">
        <color auto="1"/>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style="thin">
        <color auto="1"/>
      </top>
      <bottom/>
      <diagonal/>
    </border>
  </borders>
  <cellStyleXfs count="2">
    <xf numFmtId="0" fontId="0" fillId="0" borderId="0"/>
    <xf numFmtId="0" fontId="15" fillId="0" borderId="0" applyNumberFormat="0" applyFill="0" applyBorder="0" applyAlignment="0" applyProtection="0">
      <alignment vertical="top"/>
      <protection locked="0"/>
    </xf>
  </cellStyleXfs>
  <cellXfs count="138">
    <xf numFmtId="0" fontId="0" fillId="0" borderId="0" xfId="0"/>
    <xf numFmtId="0" fontId="1" fillId="0" borderId="0" xfId="0" applyFont="1" applyBorder="1" applyAlignment="1">
      <alignment horizontal="center"/>
    </xf>
    <xf numFmtId="0" fontId="1" fillId="0" borderId="0" xfId="0" applyNumberFormat="1" applyFont="1" applyBorder="1" applyAlignment="1">
      <alignment horizontal="left"/>
    </xf>
    <xf numFmtId="1" fontId="1" fillId="0" borderId="0" xfId="0" applyNumberFormat="1" applyFont="1" applyBorder="1" applyAlignment="1">
      <alignment horizontal="center"/>
    </xf>
    <xf numFmtId="0" fontId="0" fillId="0" borderId="0" xfId="0" applyBorder="1" applyAlignment="1">
      <alignment horizontal="center"/>
    </xf>
    <xf numFmtId="0" fontId="0" fillId="0" borderId="0" xfId="0" applyBorder="1"/>
    <xf numFmtId="0" fontId="0" fillId="0" borderId="0" xfId="0" applyNumberFormat="1" applyBorder="1" applyAlignment="1">
      <alignment horizontal="center"/>
    </xf>
    <xf numFmtId="0" fontId="0" fillId="0" borderId="0" xfId="0" applyNumberFormat="1" applyBorder="1"/>
    <xf numFmtId="0" fontId="2" fillId="0" borderId="0" xfId="0" applyFont="1" applyBorder="1" applyAlignment="1">
      <alignment horizontal="left"/>
    </xf>
    <xf numFmtId="0" fontId="3" fillId="0" borderId="0" xfId="0" applyFont="1" applyBorder="1"/>
    <xf numFmtId="0" fontId="0" fillId="0" borderId="0" xfId="0" applyBorder="1" applyAlignment="1">
      <alignment horizontal="left"/>
    </xf>
    <xf numFmtId="0" fontId="4" fillId="0" borderId="0" xfId="0" applyNumberFormat="1" applyFont="1" applyBorder="1" applyAlignment="1">
      <alignment horizontal="center"/>
    </xf>
    <xf numFmtId="0" fontId="0" fillId="0" borderId="0" xfId="0" applyNumberFormat="1" applyFont="1" applyFill="1" applyBorder="1" applyAlignment="1">
      <alignment horizontal="center"/>
    </xf>
    <xf numFmtId="0" fontId="1" fillId="0" borderId="0" xfId="0" applyFont="1"/>
    <xf numFmtId="0" fontId="1" fillId="0" borderId="0" xfId="0" applyNumberFormat="1" applyFont="1" applyAlignment="1">
      <alignment horizontal="center"/>
    </xf>
    <xf numFmtId="0" fontId="1" fillId="0" borderId="0" xfId="0" applyFont="1" applyAlignment="1">
      <alignment horizontal="center"/>
    </xf>
    <xf numFmtId="1" fontId="5" fillId="0" borderId="0" xfId="0" applyNumberFormat="1" applyFont="1"/>
    <xf numFmtId="0" fontId="1" fillId="0" borderId="0" xfId="0" applyNumberFormat="1" applyFont="1"/>
    <xf numFmtId="0" fontId="0" fillId="0" borderId="0" xfId="0" applyNumberFormat="1" applyAlignment="1">
      <alignment horizontal="center"/>
    </xf>
    <xf numFmtId="0" fontId="0" fillId="0" borderId="0" xfId="0" applyAlignment="1">
      <alignment horizontal="center"/>
    </xf>
    <xf numFmtId="0" fontId="0" fillId="0" borderId="0" xfId="0" applyNumberFormat="1"/>
    <xf numFmtId="0" fontId="3" fillId="0" borderId="0" xfId="0" applyFont="1" applyBorder="1" applyAlignment="1">
      <alignment horizontal="center"/>
    </xf>
    <xf numFmtId="0" fontId="4" fillId="0" borderId="0" xfId="0" applyFont="1"/>
    <xf numFmtId="0" fontId="3" fillId="0" borderId="0" xfId="0" applyFont="1" applyFill="1" applyBorder="1"/>
    <xf numFmtId="0" fontId="6" fillId="0" borderId="0" xfId="0" applyFont="1" applyAlignment="1">
      <alignment horizontal="center"/>
    </xf>
    <xf numFmtId="0" fontId="0" fillId="0" borderId="0" xfId="0" applyFill="1"/>
    <xf numFmtId="0" fontId="0" fillId="0" borderId="0" xfId="0" applyFill="1" applyBorder="1"/>
    <xf numFmtId="0" fontId="1" fillId="0" borderId="0" xfId="0" applyFont="1" applyFill="1" applyBorder="1" applyAlignment="1">
      <alignment vertical="center"/>
    </xf>
    <xf numFmtId="0" fontId="0" fillId="0" borderId="0" xfId="0" applyFill="1" applyBorder="1" applyAlignment="1">
      <alignment vertical="center" wrapText="1"/>
    </xf>
    <xf numFmtId="14" fontId="0" fillId="0" borderId="0" xfId="0" applyNumberFormat="1"/>
    <xf numFmtId="0" fontId="7" fillId="0" borderId="0" xfId="0" applyNumberFormat="1" applyFont="1" applyFill="1" applyBorder="1" applyAlignment="1"/>
    <xf numFmtId="0" fontId="8" fillId="2" borderId="1" xfId="0" applyFont="1" applyFill="1" applyBorder="1" applyAlignment="1">
      <alignment horizont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left"/>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vertical="center"/>
    </xf>
    <xf numFmtId="0" fontId="0" fillId="0" borderId="0" xfId="0" applyFill="1" applyAlignment="1">
      <alignment vertical="center"/>
    </xf>
    <xf numFmtId="14" fontId="16"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0" borderId="2" xfId="0" applyFont="1" applyFill="1" applyBorder="1" applyAlignment="1">
      <alignment horizontal="left" vertical="center" wrapText="1"/>
    </xf>
    <xf numFmtId="165" fontId="1" fillId="2" borderId="1" xfId="0" applyNumberFormat="1" applyFont="1" applyFill="1" applyBorder="1" applyAlignment="1">
      <alignment horizontal="center"/>
    </xf>
    <xf numFmtId="0" fontId="0" fillId="5" borderId="0" xfId="0" applyFill="1" applyBorder="1"/>
    <xf numFmtId="0" fontId="0" fillId="5" borderId="0" xfId="0" applyNumberFormat="1" applyFill="1" applyBorder="1" applyAlignment="1">
      <alignment horizontal="center"/>
    </xf>
    <xf numFmtId="1" fontId="0" fillId="5" borderId="0" xfId="0" applyNumberFormat="1" applyFill="1" applyBorder="1" applyAlignment="1">
      <alignment horizontal="center"/>
    </xf>
    <xf numFmtId="0" fontId="0" fillId="5" borderId="0" xfId="0" applyNumberFormat="1" applyFont="1" applyFill="1" applyBorder="1" applyAlignment="1">
      <alignment horizontal="center"/>
    </xf>
    <xf numFmtId="0" fontId="0" fillId="5" borderId="0" xfId="0" applyNumberFormat="1" applyFont="1" applyFill="1" applyBorder="1" applyAlignment="1"/>
    <xf numFmtId="0" fontId="4" fillId="5" borderId="0" xfId="0" applyFont="1" applyFill="1" applyBorder="1"/>
    <xf numFmtId="0" fontId="9" fillId="5" borderId="1" xfId="0" applyFont="1" applyFill="1" applyBorder="1" applyAlignment="1">
      <alignment horizontal="center"/>
    </xf>
    <xf numFmtId="0" fontId="10" fillId="5" borderId="1" xfId="0" applyFont="1" applyFill="1" applyBorder="1" applyAlignment="1">
      <alignment horizontal="center"/>
    </xf>
    <xf numFmtId="0" fontId="11" fillId="5" borderId="1" xfId="0" applyFont="1" applyFill="1" applyBorder="1" applyAlignment="1">
      <alignment horizontal="center"/>
    </xf>
    <xf numFmtId="0" fontId="17" fillId="6" borderId="1" xfId="0" applyFont="1" applyFill="1" applyBorder="1" applyAlignment="1">
      <alignment horizontal="center"/>
    </xf>
    <xf numFmtId="0" fontId="1" fillId="5" borderId="1" xfId="0" applyFont="1" applyFill="1" applyBorder="1" applyAlignment="1">
      <alignment horizontal="center"/>
    </xf>
    <xf numFmtId="0" fontId="18" fillId="7" borderId="0" xfId="0" applyFont="1" applyFill="1" applyBorder="1"/>
    <xf numFmtId="0" fontId="18" fillId="7" borderId="0" xfId="0" applyNumberFormat="1" applyFont="1" applyFill="1" applyBorder="1" applyAlignment="1">
      <alignment horizontal="center"/>
    </xf>
    <xf numFmtId="1" fontId="18" fillId="7" borderId="0" xfId="0" applyNumberFormat="1" applyFont="1" applyFill="1" applyBorder="1" applyAlignment="1">
      <alignment horizontal="center"/>
    </xf>
    <xf numFmtId="0" fontId="18" fillId="7" borderId="0" xfId="0" applyNumberFormat="1" applyFont="1" applyFill="1" applyBorder="1" applyAlignment="1"/>
    <xf numFmtId="0" fontId="4" fillId="7" borderId="0" xfId="0" applyFont="1" applyFill="1" applyBorder="1"/>
    <xf numFmtId="0" fontId="4" fillId="7" borderId="1" xfId="0" applyFont="1" applyFill="1" applyBorder="1" applyAlignment="1">
      <alignment horizontal="center"/>
    </xf>
    <xf numFmtId="0" fontId="1" fillId="7" borderId="1" xfId="0" applyFont="1" applyFill="1" applyBorder="1" applyAlignment="1">
      <alignment horizontal="center"/>
    </xf>
    <xf numFmtId="0" fontId="19" fillId="8" borderId="1" xfId="0" applyFont="1" applyFill="1" applyBorder="1" applyAlignment="1">
      <alignment horizontal="center"/>
    </xf>
    <xf numFmtId="0" fontId="9" fillId="5" borderId="10" xfId="0" applyFont="1" applyFill="1" applyBorder="1" applyAlignment="1">
      <alignment horizontal="center"/>
    </xf>
    <xf numFmtId="0" fontId="10" fillId="5" borderId="10" xfId="0" applyFont="1" applyFill="1" applyBorder="1" applyAlignment="1">
      <alignment horizontal="center"/>
    </xf>
    <xf numFmtId="0" fontId="11" fillId="5" borderId="10" xfId="0" applyFont="1" applyFill="1" applyBorder="1" applyAlignment="1">
      <alignment horizontal="center"/>
    </xf>
    <xf numFmtId="0" fontId="17" fillId="6" borderId="10" xfId="0" applyFont="1" applyFill="1" applyBorder="1" applyAlignment="1">
      <alignment horizontal="center"/>
    </xf>
    <xf numFmtId="0" fontId="1" fillId="5" borderId="10" xfId="0" applyFont="1" applyFill="1" applyBorder="1" applyAlignment="1">
      <alignment horizontal="center"/>
    </xf>
    <xf numFmtId="0" fontId="0" fillId="0" borderId="11" xfId="0" applyBorder="1"/>
    <xf numFmtId="165" fontId="1" fillId="9" borderId="1" xfId="0" applyNumberFormat="1" applyFont="1" applyFill="1" applyBorder="1" applyAlignment="1">
      <alignment horizontal="center"/>
    </xf>
    <xf numFmtId="165" fontId="20" fillId="2" borderId="1" xfId="0" applyNumberFormat="1" applyFont="1" applyFill="1" applyBorder="1" applyAlignment="1">
      <alignment horizontal="center"/>
    </xf>
    <xf numFmtId="0" fontId="1" fillId="10" borderId="13" xfId="0" applyNumberFormat="1" applyFont="1" applyFill="1" applyBorder="1" applyAlignment="1">
      <alignment horizontal="center"/>
    </xf>
    <xf numFmtId="0" fontId="1" fillId="10" borderId="13" xfId="0" applyFont="1" applyFill="1" applyBorder="1" applyAlignment="1">
      <alignment horizontal="center"/>
    </xf>
    <xf numFmtId="1" fontId="5" fillId="10" borderId="13" xfId="0" applyNumberFormat="1" applyFont="1" applyFill="1" applyBorder="1"/>
    <xf numFmtId="0" fontId="1" fillId="10" borderId="13" xfId="0" applyNumberFormat="1" applyFont="1" applyFill="1" applyBorder="1" applyAlignment="1"/>
    <xf numFmtId="0" fontId="0" fillId="11" borderId="14" xfId="0" applyFill="1" applyBorder="1" applyAlignment="1">
      <alignment horizontal="center"/>
    </xf>
    <xf numFmtId="0" fontId="0" fillId="11" borderId="14" xfId="0" applyNumberFormat="1" applyFill="1" applyBorder="1" applyAlignment="1">
      <alignment horizontal="center"/>
    </xf>
    <xf numFmtId="0" fontId="0" fillId="12" borderId="14" xfId="0" applyNumberFormat="1" applyFill="1" applyBorder="1" applyAlignment="1">
      <alignment horizontal="center"/>
    </xf>
    <xf numFmtId="1" fontId="0" fillId="12" borderId="14" xfId="0" applyNumberFormat="1" applyFill="1" applyBorder="1" applyAlignment="1">
      <alignment horizontal="center"/>
    </xf>
    <xf numFmtId="0" fontId="0" fillId="12" borderId="14" xfId="0" applyNumberFormat="1" applyFont="1" applyFill="1" applyBorder="1" applyAlignment="1">
      <alignment horizontal="center"/>
    </xf>
    <xf numFmtId="0" fontId="0" fillId="12" borderId="14" xfId="0" applyNumberFormat="1" applyFont="1" applyFill="1" applyBorder="1" applyAlignment="1"/>
    <xf numFmtId="0" fontId="0" fillId="12" borderId="14" xfId="0" applyFill="1" applyBorder="1"/>
    <xf numFmtId="0" fontId="0" fillId="12" borderId="14" xfId="0" applyFill="1" applyBorder="1" applyAlignment="1">
      <alignment horizontal="center"/>
    </xf>
    <xf numFmtId="0" fontId="0" fillId="0" borderId="0" xfId="0" applyNumberFormat="1" applyAlignment="1">
      <alignment horizontal="left"/>
    </xf>
    <xf numFmtId="0" fontId="0" fillId="0" borderId="0" xfId="0" applyNumberFormat="1" applyAlignment="1">
      <alignment horizontal="right"/>
    </xf>
    <xf numFmtId="0" fontId="0" fillId="11" borderId="14" xfId="0" applyFill="1" applyBorder="1"/>
    <xf numFmtId="0" fontId="0" fillId="0" borderId="0" xfId="0" applyNumberFormat="1" applyAlignment="1"/>
    <xf numFmtId="0" fontId="0" fillId="12" borderId="16" xfId="0" applyNumberFormat="1" applyFill="1" applyBorder="1" applyAlignment="1">
      <alignment horizontal="center"/>
    </xf>
    <xf numFmtId="1" fontId="0" fillId="12" borderId="16" xfId="0" applyNumberFormat="1" applyFill="1" applyBorder="1" applyAlignment="1">
      <alignment horizontal="center"/>
    </xf>
    <xf numFmtId="0" fontId="0" fillId="12" borderId="16" xfId="0" applyNumberFormat="1" applyFont="1" applyFill="1" applyBorder="1" applyAlignment="1">
      <alignment horizontal="center"/>
    </xf>
    <xf numFmtId="0" fontId="0" fillId="12" borderId="16" xfId="0" applyNumberFormat="1" applyFont="1" applyFill="1" applyBorder="1" applyAlignment="1"/>
    <xf numFmtId="0" fontId="0" fillId="12" borderId="16" xfId="0" applyFill="1" applyBorder="1"/>
    <xf numFmtId="0" fontId="0" fillId="12" borderId="16" xfId="0" applyFill="1" applyBorder="1" applyAlignment="1">
      <alignment horizontal="center"/>
    </xf>
    <xf numFmtId="0" fontId="0" fillId="11" borderId="15" xfId="0" applyNumberFormat="1" applyFill="1" applyBorder="1" applyAlignment="1">
      <alignment horizontal="center"/>
    </xf>
    <xf numFmtId="0" fontId="0" fillId="11" borderId="15" xfId="0" applyFill="1" applyBorder="1" applyAlignment="1">
      <alignment horizontal="center"/>
    </xf>
    <xf numFmtId="0" fontId="0" fillId="11" borderId="15" xfId="0" applyFill="1" applyBorder="1"/>
    <xf numFmtId="0" fontId="21" fillId="0" borderId="0" xfId="0" applyFont="1"/>
    <xf numFmtId="0" fontId="21" fillId="0" borderId="0" xfId="0" applyNumberFormat="1" applyFont="1" applyAlignment="1">
      <alignment horizontal="right"/>
    </xf>
    <xf numFmtId="2" fontId="0" fillId="0" borderId="0" xfId="0" applyNumberFormat="1"/>
    <xf numFmtId="2" fontId="0" fillId="0" borderId="0" xfId="0" applyNumberFormat="1" applyAlignment="1">
      <alignment horizontal="center"/>
    </xf>
    <xf numFmtId="0" fontId="0" fillId="13" borderId="14" xfId="0" applyNumberFormat="1" applyFill="1" applyBorder="1" applyAlignment="1">
      <alignment horizontal="center"/>
    </xf>
    <xf numFmtId="0" fontId="0" fillId="13" borderId="14" xfId="0" applyFill="1" applyBorder="1" applyAlignment="1">
      <alignment horizontal="center"/>
    </xf>
    <xf numFmtId="0" fontId="0" fillId="13" borderId="14" xfId="0" applyFill="1" applyBorder="1"/>
    <xf numFmtId="0" fontId="22" fillId="7" borderId="0" xfId="0" applyFont="1" applyFill="1" applyBorder="1"/>
    <xf numFmtId="0" fontId="22" fillId="7" borderId="0" xfId="0" applyNumberFormat="1" applyFont="1" applyFill="1" applyBorder="1" applyAlignment="1">
      <alignment horizontal="center"/>
    </xf>
    <xf numFmtId="1" fontId="22" fillId="7" borderId="0" xfId="0" applyNumberFormat="1" applyFont="1" applyFill="1" applyBorder="1" applyAlignment="1">
      <alignment horizontal="center"/>
    </xf>
    <xf numFmtId="0" fontId="22" fillId="7" borderId="0" xfId="0" applyNumberFormat="1" applyFont="1" applyFill="1" applyBorder="1" applyAlignment="1"/>
    <xf numFmtId="0" fontId="23" fillId="7" borderId="0" xfId="0" applyFont="1" applyFill="1" applyBorder="1"/>
    <xf numFmtId="0" fontId="23" fillId="7" borderId="1" xfId="0" applyFont="1" applyFill="1" applyBorder="1" applyAlignment="1">
      <alignment horizontal="center"/>
    </xf>
    <xf numFmtId="0" fontId="20" fillId="7" borderId="1" xfId="0" applyFont="1" applyFill="1" applyBorder="1" applyAlignment="1">
      <alignment horizontal="center"/>
    </xf>
    <xf numFmtId="0" fontId="24" fillId="8" borderId="1" xfId="0" applyFont="1" applyFill="1" applyBorder="1" applyAlignment="1">
      <alignment horizontal="center"/>
    </xf>
    <xf numFmtId="0" fontId="22" fillId="0" borderId="0" xfId="0" applyFont="1"/>
    <xf numFmtId="0" fontId="0" fillId="5" borderId="11" xfId="0" applyFill="1" applyBorder="1"/>
    <xf numFmtId="0" fontId="0" fillId="5" borderId="11" xfId="0" applyNumberFormat="1" applyFill="1" applyBorder="1" applyAlignment="1">
      <alignment horizontal="center"/>
    </xf>
    <xf numFmtId="1" fontId="0" fillId="5" borderId="11" xfId="0" applyNumberFormat="1" applyFill="1" applyBorder="1" applyAlignment="1">
      <alignment horizontal="center"/>
    </xf>
    <xf numFmtId="0" fontId="0" fillId="5" borderId="11" xfId="0" applyNumberFormat="1" applyFont="1" applyFill="1" applyBorder="1" applyAlignment="1">
      <alignment horizontal="center"/>
    </xf>
    <xf numFmtId="0" fontId="0" fillId="5" borderId="11" xfId="0" applyNumberFormat="1" applyFont="1" applyFill="1" applyBorder="1" applyAlignment="1"/>
    <xf numFmtId="0" fontId="4" fillId="5" borderId="11" xfId="0" applyFont="1" applyFill="1" applyBorder="1"/>
    <xf numFmtId="0" fontId="9" fillId="5" borderId="12" xfId="0" applyFont="1" applyFill="1" applyBorder="1" applyAlignment="1">
      <alignment horizontal="center"/>
    </xf>
    <xf numFmtId="0" fontId="10" fillId="5" borderId="12" xfId="0" applyFont="1" applyFill="1" applyBorder="1" applyAlignment="1">
      <alignment horizontal="center"/>
    </xf>
    <xf numFmtId="0" fontId="11" fillId="5" borderId="12" xfId="0" applyFont="1" applyFill="1" applyBorder="1" applyAlignment="1">
      <alignment horizontal="center"/>
    </xf>
    <xf numFmtId="0" fontId="17" fillId="6" borderId="12" xfId="0" applyFont="1" applyFill="1" applyBorder="1" applyAlignment="1">
      <alignment horizontal="center"/>
    </xf>
    <xf numFmtId="0" fontId="1" fillId="5" borderId="12" xfId="0" applyFont="1" applyFill="1" applyBorder="1" applyAlignment="1">
      <alignment horizontal="center"/>
    </xf>
    <xf numFmtId="164" fontId="1" fillId="2" borderId="7" xfId="0" applyNumberFormat="1" applyFont="1" applyFill="1" applyBorder="1" applyAlignment="1">
      <alignment horizontal="center" vertical="center"/>
    </xf>
    <xf numFmtId="164" fontId="1" fillId="2" borderId="8" xfId="0" applyNumberFormat="1" applyFont="1" applyFill="1" applyBorder="1" applyAlignment="1">
      <alignment horizontal="center" vertical="center"/>
    </xf>
    <xf numFmtId="164" fontId="1" fillId="2" borderId="9" xfId="0" applyNumberFormat="1" applyFont="1" applyFill="1" applyBorder="1" applyAlignment="1">
      <alignment horizontal="center" vertic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vertical="center"/>
    </xf>
    <xf numFmtId="0" fontId="1" fillId="2" borderId="2" xfId="0" applyFont="1" applyFill="1" applyBorder="1" applyAlignment="1">
      <alignment horizontal="center" vertical="center"/>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14" fillId="0" borderId="0" xfId="1" applyFont="1" applyFill="1" applyBorder="1" applyAlignment="1" applyProtection="1">
      <alignment horizontal="left"/>
    </xf>
  </cellXfs>
  <cellStyles count="2">
    <cellStyle name="Hiperlink" xfId="1" builtinId="8"/>
    <cellStyle name="Normal" xfId="0" builtinId="0"/>
  </cellStyles>
  <dxfs count="619">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2"/>
      </font>
    </dxf>
    <dxf>
      <font>
        <b/>
        <i val="0"/>
        <condense val="0"/>
        <extend val="0"/>
        <color indexed="12"/>
      </font>
    </dxf>
    <dxf>
      <font>
        <b/>
        <i val="0"/>
        <condense val="0"/>
        <extend val="0"/>
        <color indexed="12"/>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color indexed="9"/>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ndense val="0"/>
        <extend val="0"/>
        <color indexed="10"/>
      </font>
    </dxf>
    <dxf>
      <font>
        <b val="0"/>
        <i val="0"/>
        <strike val="0"/>
        <condense val="0"/>
        <extend val="0"/>
        <color indexed="9"/>
      </font>
    </dxf>
    <dxf>
      <font>
        <b val="0"/>
        <i val="0"/>
        <strike val="0"/>
        <condense val="0"/>
        <extend val="0"/>
        <color indexed="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val="0"/>
        <i val="0"/>
        <strike val="0"/>
        <condense val="0"/>
        <extend val="0"/>
        <color indexed="9"/>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val="0"/>
        <strike val="0"/>
        <condense val="0"/>
        <extend val="0"/>
        <color indexed="9"/>
      </font>
    </dxf>
    <dxf>
      <font>
        <b/>
        <i val="0"/>
        <condense val="0"/>
        <extend val="0"/>
        <color indexed="12"/>
      </font>
    </dxf>
    <dxf>
      <font>
        <color rgb="FF0070C0"/>
      </font>
    </dxf>
    <dxf>
      <font>
        <color rgb="FF00B050"/>
      </font>
    </dxf>
    <dxf>
      <font>
        <color rgb="FFFF0000"/>
      </font>
    </dxf>
    <dxf>
      <font>
        <color rgb="FF0070C0"/>
      </font>
    </dxf>
    <dxf>
      <font>
        <color rgb="FFFF0000"/>
      </font>
    </dxf>
    <dxf>
      <font>
        <color rgb="FF0070C0"/>
      </font>
    </dxf>
    <dxf>
      <font>
        <color rgb="FF00B050"/>
      </font>
    </dxf>
    <dxf>
      <font>
        <color rgb="FFFF0000"/>
      </font>
    </dxf>
    <dxf>
      <font>
        <color rgb="FF0070C0"/>
      </font>
    </dxf>
    <dxf>
      <font>
        <color rgb="FFFF0000"/>
      </font>
    </dxf>
    <dxf>
      <font>
        <color rgb="FF0070C0"/>
      </font>
    </dxf>
    <dxf>
      <font>
        <color rgb="FF00B050"/>
      </font>
    </dxf>
    <dxf>
      <font>
        <color rgb="FFFF0000"/>
      </font>
    </dxf>
    <dxf>
      <font>
        <color rgb="FF0070C0"/>
      </font>
    </dxf>
    <dxf>
      <font>
        <color rgb="FFFF0000"/>
      </font>
    </dxf>
    <dxf>
      <font>
        <color rgb="FF0070C0"/>
      </font>
    </dxf>
    <dxf>
      <font>
        <color rgb="FF00B050"/>
      </font>
    </dxf>
    <dxf>
      <font>
        <color rgb="FFFF0000"/>
      </font>
    </dxf>
    <dxf>
      <font>
        <color rgb="FF0070C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68FBE40-B964-453C-BEA2-77F32F2C294F}" ax:persistence="persistStorage"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12700</xdr:colOff>
          <xdr:row>0</xdr:row>
          <xdr:rowOff>12700</xdr:rowOff>
        </xdr:to>
        <xdr:sp macro="" textlink="">
          <xdr:nvSpPr>
            <xdr:cNvPr id="1025" name="TrinStgClass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universitario.educacional.com.br/ensinosuperior/f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AH59"/>
  <sheetViews>
    <sheetView workbookViewId="0">
      <pane xSplit="6" ySplit="7" topLeftCell="G15" activePane="bottomRight" state="frozen"/>
      <selection pane="topRight" activeCell="G1" sqref="G1"/>
      <selection pane="bottomLeft" activeCell="A8" sqref="A8"/>
      <selection pane="bottomRight" activeCell="H28" sqref="H28"/>
    </sheetView>
  </sheetViews>
  <sheetFormatPr defaultColWidth="9.1796875" defaultRowHeight="14.5" x14ac:dyDescent="0.35"/>
  <cols>
    <col min="1" max="1" width="1.453125" customWidth="1"/>
    <col min="2" max="2" width="6.1796875" style="18" bestFit="1" customWidth="1"/>
    <col min="3" max="3" width="8.1796875" style="19" bestFit="1" customWidth="1"/>
    <col min="4" max="4" width="9.453125" style="19" bestFit="1" customWidth="1"/>
    <col min="5" max="5" width="0" hidden="1" customWidth="1"/>
    <col min="6" max="6" width="40.7265625" customWidth="1"/>
    <col min="7" max="12" width="5.6328125" customWidth="1"/>
    <col min="13" max="14" width="5.7265625" style="18" customWidth="1"/>
    <col min="15" max="15" width="12.26953125" style="18" bestFit="1" customWidth="1"/>
    <col min="16" max="16" width="10" style="18" bestFit="1" customWidth="1"/>
    <col min="17" max="17" width="5.7265625" style="18" customWidth="1"/>
    <col min="18" max="18" width="10.54296875" style="18" bestFit="1" customWidth="1"/>
    <col min="19" max="27" width="5.7265625" style="18" customWidth="1"/>
    <col min="28" max="34" width="9.1796875" style="20"/>
  </cols>
  <sheetData>
    <row r="1" spans="1:34" s="5" customFormat="1" x14ac:dyDescent="0.35">
      <c r="A1" s="1"/>
      <c r="B1" s="2"/>
      <c r="C1" s="3"/>
      <c r="D1" s="4"/>
      <c r="M1" s="6"/>
      <c r="N1" s="6"/>
      <c r="O1" s="6"/>
      <c r="P1" s="6"/>
      <c r="Q1" s="6"/>
      <c r="R1" s="6"/>
      <c r="S1" s="6"/>
      <c r="T1" s="6"/>
      <c r="U1" s="6"/>
      <c r="V1" s="6"/>
      <c r="W1" s="6"/>
      <c r="X1" s="6"/>
      <c r="Y1" s="6"/>
      <c r="Z1" s="6"/>
      <c r="AA1" s="6"/>
      <c r="AB1" s="7"/>
      <c r="AC1" s="7"/>
      <c r="AD1" s="7"/>
      <c r="AE1" s="7"/>
      <c r="AF1" s="7"/>
      <c r="AG1" s="7"/>
      <c r="AH1" s="7"/>
    </row>
    <row r="2" spans="1:34" s="5" customFormat="1" ht="15.5" x14ac:dyDescent="0.35">
      <c r="A2" s="8" t="s">
        <v>0</v>
      </c>
      <c r="B2" s="6"/>
      <c r="C2" s="4"/>
      <c r="D2" s="9"/>
      <c r="M2" s="6"/>
      <c r="N2" s="6"/>
      <c r="O2" s="6"/>
      <c r="P2" s="6"/>
      <c r="Q2" s="6"/>
      <c r="R2" s="6"/>
      <c r="S2" s="6"/>
      <c r="T2" s="6"/>
      <c r="U2" s="6"/>
      <c r="V2" s="6"/>
      <c r="W2" s="6"/>
      <c r="X2" s="6"/>
      <c r="Y2" s="6"/>
      <c r="Z2" s="6"/>
      <c r="AA2" s="6"/>
      <c r="AB2" s="7"/>
      <c r="AC2" s="7"/>
      <c r="AD2" s="7"/>
      <c r="AE2" s="7"/>
      <c r="AF2" s="7"/>
      <c r="AG2" s="7"/>
      <c r="AH2" s="7"/>
    </row>
    <row r="3" spans="1:34" s="5" customFormat="1" x14ac:dyDescent="0.35">
      <c r="A3" s="10" t="s">
        <v>29</v>
      </c>
      <c r="B3" s="6"/>
      <c r="C3" s="4"/>
      <c r="M3" s="6"/>
      <c r="N3" s="11"/>
      <c r="O3" s="6"/>
      <c r="P3" s="6"/>
      <c r="Q3" s="6"/>
      <c r="R3" s="6"/>
      <c r="S3" s="6"/>
      <c r="T3" s="6"/>
      <c r="U3" s="6"/>
      <c r="V3" s="6"/>
      <c r="W3" s="6"/>
      <c r="X3" s="6"/>
      <c r="Y3" s="6"/>
      <c r="Z3" s="6"/>
      <c r="AA3" s="6"/>
      <c r="AB3" s="7"/>
      <c r="AC3" s="7"/>
      <c r="AD3" s="7"/>
      <c r="AE3" s="7"/>
      <c r="AF3" s="7"/>
      <c r="AG3" s="7"/>
      <c r="AH3" s="7"/>
    </row>
    <row r="4" spans="1:34" s="5" customFormat="1" x14ac:dyDescent="0.35">
      <c r="A4" s="10" t="s">
        <v>30</v>
      </c>
      <c r="B4" s="6"/>
      <c r="C4" s="4"/>
      <c r="M4" s="6"/>
      <c r="N4" s="6"/>
      <c r="O4" s="6"/>
      <c r="P4" s="6"/>
      <c r="Q4" s="6"/>
      <c r="R4" s="6"/>
      <c r="S4" s="6"/>
      <c r="T4" s="6"/>
      <c r="U4" s="6"/>
      <c r="V4" s="6"/>
      <c r="W4" s="6"/>
      <c r="X4" s="6"/>
      <c r="Y4" s="6"/>
      <c r="Z4" s="6"/>
      <c r="AA4" s="6"/>
      <c r="AB4" s="7"/>
      <c r="AC4" s="7"/>
      <c r="AD4" s="7"/>
      <c r="AE4" s="7"/>
      <c r="AF4" s="7"/>
      <c r="AG4" s="7"/>
      <c r="AH4" s="7"/>
    </row>
    <row r="5" spans="1:34" s="5" customFormat="1" x14ac:dyDescent="0.35">
      <c r="A5" s="10" t="s">
        <v>31</v>
      </c>
      <c r="B5" s="6"/>
      <c r="C5" s="4"/>
      <c r="M5" s="6"/>
      <c r="N5" s="6"/>
      <c r="O5" s="6"/>
      <c r="P5" s="6"/>
      <c r="Q5" s="6"/>
      <c r="R5" s="6"/>
      <c r="S5" s="6"/>
      <c r="T5" s="6"/>
      <c r="U5" s="6"/>
      <c r="V5" s="6"/>
      <c r="W5" s="6"/>
      <c r="X5" s="6"/>
      <c r="Y5" s="6"/>
      <c r="Z5" s="6"/>
      <c r="AA5" s="6"/>
      <c r="AB5" s="7"/>
      <c r="AC5" s="7"/>
      <c r="AD5" s="7"/>
      <c r="AE5" s="7"/>
      <c r="AF5" s="7"/>
      <c r="AG5" s="7"/>
      <c r="AH5" s="7"/>
    </row>
    <row r="6" spans="1:34" s="5" customFormat="1" ht="15" thickBot="1" x14ac:dyDescent="0.4">
      <c r="A6" s="10"/>
      <c r="B6" s="12"/>
      <c r="C6" s="4"/>
      <c r="M6" s="6"/>
      <c r="N6" s="6"/>
      <c r="O6" s="6"/>
      <c r="P6" s="6"/>
      <c r="Q6" s="6"/>
      <c r="R6" s="6"/>
      <c r="S6" s="6"/>
      <c r="T6" s="6"/>
      <c r="U6" s="6" t="s">
        <v>132</v>
      </c>
      <c r="V6" s="6"/>
      <c r="W6" s="6"/>
      <c r="X6" s="6"/>
      <c r="Y6" s="6"/>
      <c r="Z6" s="6"/>
      <c r="AA6" s="6"/>
      <c r="AB6" s="7"/>
      <c r="AC6" s="7"/>
      <c r="AD6" s="7"/>
      <c r="AE6" s="7"/>
      <c r="AF6" s="7"/>
      <c r="AG6" s="7"/>
      <c r="AH6" s="7"/>
    </row>
    <row r="7" spans="1:34" s="13" customFormat="1" ht="13.5" thickBot="1" x14ac:dyDescent="0.35">
      <c r="B7" s="72" t="s">
        <v>1</v>
      </c>
      <c r="C7" s="73" t="s">
        <v>2</v>
      </c>
      <c r="D7" s="73" t="s">
        <v>3</v>
      </c>
      <c r="E7" s="74" t="s">
        <v>4</v>
      </c>
      <c r="F7" s="75" t="s">
        <v>5</v>
      </c>
      <c r="G7" s="72" t="s">
        <v>124</v>
      </c>
      <c r="H7" s="72" t="s">
        <v>125</v>
      </c>
      <c r="I7" s="72" t="s">
        <v>126</v>
      </c>
      <c r="J7" s="72" t="s">
        <v>127</v>
      </c>
      <c r="K7" s="72" t="s">
        <v>123</v>
      </c>
      <c r="L7" s="72" t="s">
        <v>128</v>
      </c>
      <c r="M7" s="72" t="s">
        <v>25</v>
      </c>
      <c r="N7" s="72" t="s">
        <v>26</v>
      </c>
      <c r="O7" s="72" t="s">
        <v>27</v>
      </c>
      <c r="P7" s="72" t="s">
        <v>129</v>
      </c>
      <c r="Q7" s="72" t="s">
        <v>28</v>
      </c>
      <c r="R7" s="72" t="s">
        <v>130</v>
      </c>
      <c r="S7" s="14"/>
      <c r="T7" s="14"/>
      <c r="U7" s="14"/>
      <c r="V7" s="14"/>
      <c r="W7" s="14"/>
      <c r="X7" s="14"/>
      <c r="Y7" s="14"/>
      <c r="Z7" s="14"/>
      <c r="AA7" s="14"/>
      <c r="AB7" s="17"/>
      <c r="AC7" s="17"/>
      <c r="AD7" s="17"/>
      <c r="AE7" s="17"/>
      <c r="AF7" s="17"/>
      <c r="AG7" s="17"/>
      <c r="AH7" s="17"/>
    </row>
    <row r="8" spans="1:34" x14ac:dyDescent="0.35">
      <c r="B8" s="78" t="s">
        <v>49</v>
      </c>
      <c r="C8" s="79">
        <v>10</v>
      </c>
      <c r="D8" s="80">
        <v>680</v>
      </c>
      <c r="E8" s="81">
        <v>100850068</v>
      </c>
      <c r="F8" s="82" t="s">
        <v>51</v>
      </c>
      <c r="G8" s="83"/>
      <c r="H8" s="78" t="s">
        <v>146</v>
      </c>
      <c r="I8" s="83"/>
      <c r="J8" s="78"/>
      <c r="K8" s="83" t="s">
        <v>131</v>
      </c>
      <c r="L8" s="78" t="s">
        <v>131</v>
      </c>
      <c r="M8" s="78">
        <f t="shared" ref="M8" si="0">IF(N(G8)+N(H8)&gt;=100,100,N(G8)+N(H8))</f>
        <v>0</v>
      </c>
      <c r="N8" s="78">
        <f t="shared" ref="N8" si="1">IF(N(I8)+N(J8)+N(K8)&gt;=100,100,ROUND(N(I8)+N(J8)+N(K8),0))</f>
        <v>0</v>
      </c>
      <c r="O8" s="78">
        <f t="shared" ref="O8" si="2">ROUND(( ROUND(M8,0)+ROUND(N8,0))/2,0)</f>
        <v>0</v>
      </c>
      <c r="P8" s="78"/>
      <c r="Q8" s="78"/>
      <c r="R8" s="78">
        <f t="shared" ref="R8" si="3">IF(AND(O8&gt;=30,O8&lt;60),ROUND(0.5*O8+0.5*N(Q8),0),O8)</f>
        <v>0</v>
      </c>
      <c r="T8" s="87" t="s">
        <v>133</v>
      </c>
      <c r="U8" s="87"/>
      <c r="V8" s="87">
        <f>COUNTIF(O8:O50,"&gt;=60")</f>
        <v>0</v>
      </c>
      <c r="AA8" s="20"/>
      <c r="AH8"/>
    </row>
    <row r="9" spans="1:34" x14ac:dyDescent="0.35">
      <c r="B9" s="77" t="s">
        <v>32</v>
      </c>
      <c r="C9" s="76">
        <v>6</v>
      </c>
      <c r="D9" s="76">
        <v>2017</v>
      </c>
      <c r="E9" s="86">
        <v>100841486</v>
      </c>
      <c r="F9" s="86" t="s">
        <v>37</v>
      </c>
      <c r="G9" s="76"/>
      <c r="H9" s="77"/>
      <c r="I9" s="76"/>
      <c r="J9" s="77"/>
      <c r="K9" s="76" t="s">
        <v>131</v>
      </c>
      <c r="L9" s="77" t="s">
        <v>131</v>
      </c>
      <c r="M9" s="77">
        <f t="shared" ref="M9:M50" si="4">IF(N(G9)+N(H9)&gt;=100,100,N(G9)+N(H9))</f>
        <v>0</v>
      </c>
      <c r="N9" s="77">
        <f t="shared" ref="N9:N50" si="5">IF(N(I9)+N(J9)+N(K9)&gt;=100,100,ROUND(N(I9)+N(J9)+N(K9),0))</f>
        <v>0</v>
      </c>
      <c r="O9" s="77">
        <f t="shared" ref="O9:O50" si="6">ROUND(( ROUND(M9,0)+ROUND(N9,0))/2,0)</f>
        <v>0</v>
      </c>
      <c r="P9" s="77"/>
      <c r="Q9" s="77"/>
      <c r="R9" s="77">
        <f t="shared" ref="R9:R50" si="7">IF(AND(O9&gt;=30,O9&lt;60),ROUND(0.5*O9+0.5*N(Q9),0),O9)</f>
        <v>0</v>
      </c>
      <c r="T9" s="84" t="s">
        <v>134</v>
      </c>
      <c r="V9" s="85">
        <f>COUNTIF(P8:P50,"=N?o")-V8</f>
        <v>0</v>
      </c>
      <c r="AA9" s="20"/>
      <c r="AH9"/>
    </row>
    <row r="10" spans="1:34" x14ac:dyDescent="0.35">
      <c r="B10" s="78" t="s">
        <v>57</v>
      </c>
      <c r="C10" s="79">
        <v>6</v>
      </c>
      <c r="D10" s="80">
        <v>9834</v>
      </c>
      <c r="E10" s="81">
        <v>100840892</v>
      </c>
      <c r="F10" s="82" t="s">
        <v>59</v>
      </c>
      <c r="G10" s="83"/>
      <c r="H10" s="78"/>
      <c r="I10" s="83"/>
      <c r="J10" s="78"/>
      <c r="K10" s="83" t="s">
        <v>131</v>
      </c>
      <c r="L10" s="78" t="s">
        <v>131</v>
      </c>
      <c r="M10" s="78">
        <f t="shared" si="4"/>
        <v>0</v>
      </c>
      <c r="N10" s="78">
        <f t="shared" si="5"/>
        <v>0</v>
      </c>
      <c r="O10" s="78">
        <f t="shared" si="6"/>
        <v>0</v>
      </c>
      <c r="P10" s="78"/>
      <c r="Q10" s="78"/>
      <c r="R10" s="78">
        <f t="shared" si="7"/>
        <v>0</v>
      </c>
      <c r="T10" s="87" t="s">
        <v>135</v>
      </c>
      <c r="U10" s="87"/>
      <c r="V10" s="87">
        <f>COUNTIF(P8:P50,"=Sim")</f>
        <v>0</v>
      </c>
      <c r="AA10" s="20"/>
      <c r="AH10"/>
    </row>
    <row r="11" spans="1:34" x14ac:dyDescent="0.35">
      <c r="B11" s="77" t="s">
        <v>32</v>
      </c>
      <c r="C11" s="76">
        <v>10</v>
      </c>
      <c r="D11" s="76">
        <v>1688</v>
      </c>
      <c r="E11" s="86">
        <v>100850015</v>
      </c>
      <c r="F11" s="86" t="s">
        <v>47</v>
      </c>
      <c r="G11" s="76"/>
      <c r="H11" s="77"/>
      <c r="I11" s="76"/>
      <c r="J11" s="77"/>
      <c r="K11" s="76" t="s">
        <v>131</v>
      </c>
      <c r="L11" s="77" t="s">
        <v>131</v>
      </c>
      <c r="M11" s="77">
        <f t="shared" si="4"/>
        <v>0</v>
      </c>
      <c r="N11" s="77">
        <f t="shared" si="5"/>
        <v>0</v>
      </c>
      <c r="O11" s="77">
        <f t="shared" si="6"/>
        <v>0</v>
      </c>
      <c r="P11" s="77"/>
      <c r="Q11" s="77"/>
      <c r="R11" s="77">
        <f t="shared" si="7"/>
        <v>0</v>
      </c>
      <c r="T11" s="84" t="s">
        <v>136</v>
      </c>
      <c r="V11" s="85">
        <f>COUNTIF(P8:P50,"=Sim (Sub)")</f>
        <v>0</v>
      </c>
      <c r="AA11" s="20"/>
      <c r="AH11"/>
    </row>
    <row r="12" spans="1:34" x14ac:dyDescent="0.35">
      <c r="B12" s="78" t="s">
        <v>34</v>
      </c>
      <c r="C12" s="79">
        <v>5</v>
      </c>
      <c r="D12" s="80">
        <v>2095</v>
      </c>
      <c r="E12" s="81">
        <v>100839680</v>
      </c>
      <c r="F12" s="82" t="s">
        <v>35</v>
      </c>
      <c r="G12" s="83"/>
      <c r="H12" s="78"/>
      <c r="I12" s="83"/>
      <c r="J12" s="78"/>
      <c r="K12" s="83" t="s">
        <v>131</v>
      </c>
      <c r="L12" s="78" t="s">
        <v>131</v>
      </c>
      <c r="M12" s="78">
        <f t="shared" si="4"/>
        <v>0</v>
      </c>
      <c r="N12" s="78">
        <f t="shared" si="5"/>
        <v>0</v>
      </c>
      <c r="O12" s="78">
        <f t="shared" si="6"/>
        <v>0</v>
      </c>
      <c r="P12" s="78"/>
      <c r="Q12" s="78"/>
      <c r="R12" s="78">
        <f t="shared" si="7"/>
        <v>0</v>
      </c>
      <c r="T12" s="87"/>
      <c r="U12" s="87"/>
      <c r="V12" s="87"/>
      <c r="AA12" s="20"/>
      <c r="AH12"/>
    </row>
    <row r="13" spans="1:34" x14ac:dyDescent="0.35">
      <c r="B13" s="77" t="s">
        <v>32</v>
      </c>
      <c r="C13" s="76">
        <v>5</v>
      </c>
      <c r="D13" s="76">
        <v>2092</v>
      </c>
      <c r="E13" s="86">
        <v>100839734</v>
      </c>
      <c r="F13" s="86" t="s">
        <v>33</v>
      </c>
      <c r="G13" s="76"/>
      <c r="H13" s="77"/>
      <c r="I13" s="76"/>
      <c r="J13" s="77"/>
      <c r="K13" s="76" t="s">
        <v>131</v>
      </c>
      <c r="L13" s="77" t="s">
        <v>131</v>
      </c>
      <c r="M13" s="77">
        <f t="shared" si="4"/>
        <v>0</v>
      </c>
      <c r="N13" s="77">
        <f t="shared" si="5"/>
        <v>0</v>
      </c>
      <c r="O13" s="77">
        <f t="shared" si="6"/>
        <v>0</v>
      </c>
      <c r="P13" s="77"/>
      <c r="Q13" s="77"/>
      <c r="R13" s="77">
        <f t="shared" si="7"/>
        <v>0</v>
      </c>
      <c r="T13" s="84" t="s">
        <v>137</v>
      </c>
      <c r="V13" s="85"/>
      <c r="AA13" s="20"/>
      <c r="AH13"/>
    </row>
    <row r="14" spans="1:34" x14ac:dyDescent="0.35">
      <c r="B14" s="101" t="s">
        <v>32</v>
      </c>
      <c r="C14" s="102">
        <v>8</v>
      </c>
      <c r="D14" s="102">
        <v>1498</v>
      </c>
      <c r="E14" s="103">
        <v>100849474</v>
      </c>
      <c r="F14" s="103" t="s">
        <v>40</v>
      </c>
      <c r="G14" s="102"/>
      <c r="H14" s="101"/>
      <c r="I14" s="102"/>
      <c r="J14" s="101"/>
      <c r="K14" s="102" t="s">
        <v>131</v>
      </c>
      <c r="L14" s="101" t="s">
        <v>131</v>
      </c>
      <c r="M14" s="101">
        <f t="shared" si="4"/>
        <v>0</v>
      </c>
      <c r="N14" s="101">
        <f t="shared" si="5"/>
        <v>0</v>
      </c>
      <c r="O14" s="101">
        <f t="shared" si="6"/>
        <v>0</v>
      </c>
      <c r="P14" s="101"/>
      <c r="Q14" s="101"/>
      <c r="R14" s="101">
        <f t="shared" si="7"/>
        <v>0</v>
      </c>
      <c r="T14" s="87" t="s">
        <v>133</v>
      </c>
      <c r="U14" s="87"/>
      <c r="V14" s="87">
        <f>COUNTIF(R8:R50,"&gt;=50")</f>
        <v>0</v>
      </c>
      <c r="AA14" s="20"/>
      <c r="AH14"/>
    </row>
    <row r="15" spans="1:34" x14ac:dyDescent="0.35">
      <c r="B15" s="77" t="s">
        <v>49</v>
      </c>
      <c r="C15" s="76">
        <v>6</v>
      </c>
      <c r="D15" s="76">
        <v>755</v>
      </c>
      <c r="E15" s="86">
        <v>100847186</v>
      </c>
      <c r="F15" s="86" t="s">
        <v>50</v>
      </c>
      <c r="G15" s="76"/>
      <c r="H15" s="77"/>
      <c r="I15" s="76"/>
      <c r="J15" s="77"/>
      <c r="K15" s="76" t="s">
        <v>131</v>
      </c>
      <c r="L15" s="77" t="s">
        <v>131</v>
      </c>
      <c r="M15" s="77">
        <f t="shared" si="4"/>
        <v>0</v>
      </c>
      <c r="N15" s="77">
        <f t="shared" si="5"/>
        <v>0</v>
      </c>
      <c r="O15" s="77">
        <f t="shared" si="6"/>
        <v>0</v>
      </c>
      <c r="P15" s="77"/>
      <c r="Q15" s="77"/>
      <c r="R15" s="77">
        <f t="shared" si="7"/>
        <v>0</v>
      </c>
      <c r="T15" s="84" t="s">
        <v>134</v>
      </c>
      <c r="V15" s="85">
        <f>S50-V14</f>
        <v>40</v>
      </c>
      <c r="AA15" s="20"/>
      <c r="AH15"/>
    </row>
    <row r="16" spans="1:34" x14ac:dyDescent="0.35">
      <c r="B16" s="78" t="s">
        <v>62</v>
      </c>
      <c r="C16" s="79">
        <v>6</v>
      </c>
      <c r="D16" s="80">
        <v>988</v>
      </c>
      <c r="E16" s="81">
        <v>100843402</v>
      </c>
      <c r="F16" s="82" t="s">
        <v>63</v>
      </c>
      <c r="G16" s="83"/>
      <c r="H16" s="78"/>
      <c r="I16" s="83"/>
      <c r="J16" s="78"/>
      <c r="K16" s="83" t="s">
        <v>131</v>
      </c>
      <c r="L16" s="78" t="s">
        <v>131</v>
      </c>
      <c r="M16" s="78">
        <f t="shared" si="4"/>
        <v>0</v>
      </c>
      <c r="N16" s="78">
        <f t="shared" si="5"/>
        <v>0</v>
      </c>
      <c r="O16" s="78">
        <f t="shared" si="6"/>
        <v>0</v>
      </c>
      <c r="P16" s="78"/>
      <c r="Q16" s="78"/>
      <c r="R16" s="78">
        <f t="shared" si="7"/>
        <v>0</v>
      </c>
      <c r="T16" s="84"/>
      <c r="V16" s="85"/>
      <c r="AA16" s="20"/>
      <c r="AH16"/>
    </row>
    <row r="17" spans="2:34" x14ac:dyDescent="0.35">
      <c r="B17" s="77" t="s">
        <v>62</v>
      </c>
      <c r="C17" s="76">
        <v>6</v>
      </c>
      <c r="D17" s="76">
        <v>1017</v>
      </c>
      <c r="E17" s="86">
        <v>100840749</v>
      </c>
      <c r="F17" s="86" t="s">
        <v>64</v>
      </c>
      <c r="G17" s="76"/>
      <c r="H17" s="77"/>
      <c r="I17" s="76"/>
      <c r="J17" s="77"/>
      <c r="K17" s="76" t="s">
        <v>131</v>
      </c>
      <c r="L17" s="77" t="s">
        <v>131</v>
      </c>
      <c r="M17" s="77">
        <f t="shared" si="4"/>
        <v>0</v>
      </c>
      <c r="N17" s="77">
        <f t="shared" si="5"/>
        <v>0</v>
      </c>
      <c r="O17" s="77">
        <f t="shared" si="6"/>
        <v>0</v>
      </c>
      <c r="P17" s="77"/>
      <c r="Q17" s="77"/>
      <c r="R17" s="77">
        <f t="shared" si="7"/>
        <v>0</v>
      </c>
      <c r="T17" s="87"/>
      <c r="U17" s="87"/>
      <c r="V17" s="87"/>
      <c r="AA17" s="20"/>
      <c r="AH17"/>
    </row>
    <row r="18" spans="2:34" x14ac:dyDescent="0.35">
      <c r="B18" s="78" t="s">
        <v>57</v>
      </c>
      <c r="C18" s="79">
        <v>8</v>
      </c>
      <c r="D18" s="80">
        <v>9459</v>
      </c>
      <c r="E18" s="81">
        <v>100848868</v>
      </c>
      <c r="F18" s="82" t="s">
        <v>61</v>
      </c>
      <c r="G18" s="83"/>
      <c r="H18" s="78"/>
      <c r="I18" s="83"/>
      <c r="J18" s="78"/>
      <c r="K18" s="83" t="s">
        <v>131</v>
      </c>
      <c r="L18" s="78" t="s">
        <v>131</v>
      </c>
      <c r="M18" s="78">
        <f t="shared" si="4"/>
        <v>0</v>
      </c>
      <c r="N18" s="78">
        <f t="shared" si="5"/>
        <v>0</v>
      </c>
      <c r="O18" s="78">
        <f t="shared" si="6"/>
        <v>0</v>
      </c>
      <c r="P18" s="78"/>
      <c r="Q18" s="78"/>
      <c r="R18" s="78">
        <f t="shared" si="7"/>
        <v>0</v>
      </c>
      <c r="T18" s="84"/>
      <c r="V18" s="85"/>
      <c r="AA18" s="20"/>
      <c r="AH18"/>
    </row>
    <row r="19" spans="2:34" x14ac:dyDescent="0.35">
      <c r="B19" s="77" t="s">
        <v>34</v>
      </c>
      <c r="C19" s="76">
        <v>8</v>
      </c>
      <c r="D19" s="76">
        <v>1940</v>
      </c>
      <c r="E19" s="86">
        <v>100846327</v>
      </c>
      <c r="F19" s="86" t="s">
        <v>43</v>
      </c>
      <c r="G19" s="76"/>
      <c r="H19" s="77"/>
      <c r="I19" s="76"/>
      <c r="J19" s="77"/>
      <c r="K19" s="76" t="s">
        <v>131</v>
      </c>
      <c r="L19" s="77" t="s">
        <v>131</v>
      </c>
      <c r="M19" s="77">
        <f t="shared" si="4"/>
        <v>0</v>
      </c>
      <c r="N19" s="77">
        <f t="shared" si="5"/>
        <v>0</v>
      </c>
      <c r="O19" s="77">
        <f t="shared" si="6"/>
        <v>0</v>
      </c>
      <c r="P19" s="77"/>
      <c r="Q19" s="77"/>
      <c r="R19" s="77">
        <f t="shared" si="7"/>
        <v>0</v>
      </c>
      <c r="T19" s="87"/>
      <c r="U19" s="87"/>
      <c r="V19" s="87"/>
      <c r="AA19" s="20"/>
      <c r="AH19"/>
    </row>
    <row r="20" spans="2:34" x14ac:dyDescent="0.35">
      <c r="B20" s="78" t="s">
        <v>34</v>
      </c>
      <c r="C20" s="79">
        <v>8</v>
      </c>
      <c r="D20" s="80">
        <v>1860</v>
      </c>
      <c r="E20" s="81">
        <v>100847927</v>
      </c>
      <c r="F20" s="82" t="s">
        <v>44</v>
      </c>
      <c r="G20" s="83"/>
      <c r="H20" s="78"/>
      <c r="I20" s="83"/>
      <c r="J20" s="78"/>
      <c r="K20" s="83" t="s">
        <v>131</v>
      </c>
      <c r="L20" s="78" t="s">
        <v>131</v>
      </c>
      <c r="M20" s="78">
        <f t="shared" si="4"/>
        <v>0</v>
      </c>
      <c r="N20" s="78">
        <f t="shared" si="5"/>
        <v>0</v>
      </c>
      <c r="O20" s="78">
        <f t="shared" si="6"/>
        <v>0</v>
      </c>
      <c r="P20" s="78"/>
      <c r="Q20" s="78"/>
      <c r="R20" s="78">
        <f t="shared" si="7"/>
        <v>0</v>
      </c>
      <c r="T20" s="84"/>
      <c r="V20" s="85"/>
      <c r="AA20" s="20"/>
      <c r="AH20"/>
    </row>
    <row r="21" spans="2:34" x14ac:dyDescent="0.35">
      <c r="B21" s="77" t="s">
        <v>34</v>
      </c>
      <c r="C21" s="76">
        <v>5</v>
      </c>
      <c r="D21" s="76">
        <v>2097</v>
      </c>
      <c r="E21" s="86">
        <v>100848524</v>
      </c>
      <c r="F21" s="86" t="s">
        <v>36</v>
      </c>
      <c r="G21" s="76"/>
      <c r="H21" s="77" t="s">
        <v>146</v>
      </c>
      <c r="I21" s="76"/>
      <c r="J21" s="77"/>
      <c r="K21" s="76" t="s">
        <v>131</v>
      </c>
      <c r="L21" s="77" t="s">
        <v>131</v>
      </c>
      <c r="M21" s="77">
        <f t="shared" si="4"/>
        <v>0</v>
      </c>
      <c r="N21" s="77">
        <f t="shared" si="5"/>
        <v>0</v>
      </c>
      <c r="O21" s="77">
        <f t="shared" si="6"/>
        <v>0</v>
      </c>
      <c r="P21" s="77"/>
      <c r="Q21" s="77"/>
      <c r="R21" s="77">
        <f t="shared" si="7"/>
        <v>0</v>
      </c>
      <c r="T21" s="87"/>
      <c r="U21" s="87"/>
      <c r="V21" s="87"/>
      <c r="AA21" s="20"/>
      <c r="AH21"/>
    </row>
    <row r="22" spans="2:34" x14ac:dyDescent="0.35">
      <c r="B22" s="78" t="s">
        <v>62</v>
      </c>
      <c r="C22" s="79">
        <v>7</v>
      </c>
      <c r="D22" s="80">
        <v>857</v>
      </c>
      <c r="E22" s="81">
        <v>100843876</v>
      </c>
      <c r="F22" s="82" t="s">
        <v>67</v>
      </c>
      <c r="G22" s="83"/>
      <c r="H22" s="78"/>
      <c r="I22" s="83"/>
      <c r="J22" s="78"/>
      <c r="K22" s="83" t="s">
        <v>131</v>
      </c>
      <c r="L22" s="78" t="s">
        <v>131</v>
      </c>
      <c r="M22" s="78">
        <f t="shared" si="4"/>
        <v>0</v>
      </c>
      <c r="N22" s="78">
        <f t="shared" si="5"/>
        <v>0</v>
      </c>
      <c r="O22" s="78">
        <f t="shared" si="6"/>
        <v>0</v>
      </c>
      <c r="P22" s="78"/>
      <c r="Q22" s="78"/>
      <c r="R22" s="78">
        <f t="shared" si="7"/>
        <v>0</v>
      </c>
      <c r="T22" s="84"/>
      <c r="V22" s="85"/>
      <c r="AA22" s="20"/>
      <c r="AH22"/>
    </row>
    <row r="23" spans="2:34" x14ac:dyDescent="0.35">
      <c r="B23" s="77" t="s">
        <v>65</v>
      </c>
      <c r="C23" s="76">
        <v>6</v>
      </c>
      <c r="D23" s="76">
        <v>1041</v>
      </c>
      <c r="E23" s="86">
        <v>100850656</v>
      </c>
      <c r="F23" s="86" t="s">
        <v>66</v>
      </c>
      <c r="G23" s="76"/>
      <c r="H23" s="77"/>
      <c r="I23" s="76"/>
      <c r="J23" s="77"/>
      <c r="K23" s="76" t="s">
        <v>131</v>
      </c>
      <c r="L23" s="77" t="s">
        <v>131</v>
      </c>
      <c r="M23" s="77">
        <f t="shared" si="4"/>
        <v>0</v>
      </c>
      <c r="N23" s="77">
        <f t="shared" si="5"/>
        <v>0</v>
      </c>
      <c r="O23" s="77">
        <f t="shared" si="6"/>
        <v>0</v>
      </c>
      <c r="P23" s="77"/>
      <c r="Q23" s="77"/>
      <c r="R23" s="77">
        <f t="shared" si="7"/>
        <v>0</v>
      </c>
      <c r="T23" s="87"/>
      <c r="U23" s="87"/>
      <c r="V23" s="87"/>
      <c r="AA23" s="20"/>
      <c r="AH23"/>
    </row>
    <row r="24" spans="2:34" x14ac:dyDescent="0.35">
      <c r="B24" s="78" t="s">
        <v>34</v>
      </c>
      <c r="C24" s="79">
        <v>8</v>
      </c>
      <c r="D24" s="80">
        <v>1887</v>
      </c>
      <c r="E24" s="81">
        <v>100844231</v>
      </c>
      <c r="F24" s="82" t="s">
        <v>45</v>
      </c>
      <c r="G24" s="83"/>
      <c r="H24" s="78" t="s">
        <v>146</v>
      </c>
      <c r="I24" s="83"/>
      <c r="J24" s="78"/>
      <c r="K24" s="83" t="s">
        <v>131</v>
      </c>
      <c r="L24" s="78" t="s">
        <v>131</v>
      </c>
      <c r="M24" s="78">
        <f t="shared" si="4"/>
        <v>0</v>
      </c>
      <c r="N24" s="78">
        <f t="shared" si="5"/>
        <v>0</v>
      </c>
      <c r="O24" s="78">
        <f t="shared" si="6"/>
        <v>0</v>
      </c>
      <c r="P24" s="78"/>
      <c r="Q24" s="78"/>
      <c r="R24" s="78">
        <f t="shared" si="7"/>
        <v>0</v>
      </c>
      <c r="T24" s="84"/>
      <c r="V24" s="85"/>
      <c r="AA24" s="20"/>
      <c r="AH24"/>
    </row>
    <row r="25" spans="2:34" x14ac:dyDescent="0.35">
      <c r="B25" s="77" t="s">
        <v>65</v>
      </c>
      <c r="C25" s="76">
        <v>7</v>
      </c>
      <c r="D25" s="76">
        <v>903</v>
      </c>
      <c r="E25" s="86">
        <v>100846315</v>
      </c>
      <c r="F25" s="86" t="s">
        <v>69</v>
      </c>
      <c r="G25" s="76"/>
      <c r="H25" s="77"/>
      <c r="I25" s="76"/>
      <c r="J25" s="77"/>
      <c r="K25" s="76" t="s">
        <v>131</v>
      </c>
      <c r="L25" s="77" t="s">
        <v>131</v>
      </c>
      <c r="M25" s="77">
        <f t="shared" si="4"/>
        <v>0</v>
      </c>
      <c r="N25" s="77">
        <f t="shared" si="5"/>
        <v>0</v>
      </c>
      <c r="O25" s="77">
        <f t="shared" si="6"/>
        <v>0</v>
      </c>
      <c r="P25" s="77"/>
      <c r="Q25" s="77"/>
      <c r="R25" s="77">
        <f t="shared" si="7"/>
        <v>0</v>
      </c>
      <c r="T25" s="87"/>
      <c r="U25" s="87"/>
      <c r="V25" s="87"/>
      <c r="AA25" s="20"/>
      <c r="AH25"/>
    </row>
    <row r="26" spans="2:34" x14ac:dyDescent="0.35">
      <c r="B26" s="78" t="s">
        <v>34</v>
      </c>
      <c r="C26" s="79">
        <v>10</v>
      </c>
      <c r="D26" s="80">
        <v>1695</v>
      </c>
      <c r="E26" s="81">
        <v>100843196</v>
      </c>
      <c r="F26" s="82" t="s">
        <v>48</v>
      </c>
      <c r="G26" s="83"/>
      <c r="H26" s="78"/>
      <c r="I26" s="83"/>
      <c r="J26" s="78"/>
      <c r="K26" s="83" t="s">
        <v>131</v>
      </c>
      <c r="L26" s="78" t="s">
        <v>131</v>
      </c>
      <c r="M26" s="78">
        <f t="shared" si="4"/>
        <v>0</v>
      </c>
      <c r="N26" s="78">
        <f t="shared" si="5"/>
        <v>0</v>
      </c>
      <c r="O26" s="78">
        <f t="shared" si="6"/>
        <v>0</v>
      </c>
      <c r="P26" s="78"/>
      <c r="Q26" s="78"/>
      <c r="R26" s="78">
        <f t="shared" si="7"/>
        <v>0</v>
      </c>
      <c r="T26" s="84"/>
      <c r="V26" s="85"/>
      <c r="AA26" s="20"/>
      <c r="AH26"/>
    </row>
    <row r="27" spans="2:34" x14ac:dyDescent="0.35">
      <c r="B27" s="77" t="s">
        <v>57</v>
      </c>
      <c r="C27" s="76">
        <v>6</v>
      </c>
      <c r="D27" s="76">
        <v>9729</v>
      </c>
      <c r="E27" s="86">
        <v>100846537</v>
      </c>
      <c r="F27" s="86" t="s">
        <v>60</v>
      </c>
      <c r="G27" s="76"/>
      <c r="H27" s="77" t="s">
        <v>146</v>
      </c>
      <c r="I27" s="76"/>
      <c r="J27" s="77"/>
      <c r="K27" s="76" t="s">
        <v>131</v>
      </c>
      <c r="L27" s="77" t="s">
        <v>131</v>
      </c>
      <c r="M27" s="77">
        <f t="shared" si="4"/>
        <v>0</v>
      </c>
      <c r="N27" s="77">
        <f t="shared" si="5"/>
        <v>0</v>
      </c>
      <c r="O27" s="77">
        <f t="shared" si="6"/>
        <v>0</v>
      </c>
      <c r="P27" s="77"/>
      <c r="Q27" s="77"/>
      <c r="R27" s="77">
        <f t="shared" si="7"/>
        <v>0</v>
      </c>
      <c r="T27" s="87"/>
      <c r="U27" s="87"/>
      <c r="V27" s="87"/>
      <c r="AA27" s="20"/>
      <c r="AH27"/>
    </row>
    <row r="28" spans="2:34" x14ac:dyDescent="0.35">
      <c r="B28" s="78" t="s">
        <v>65</v>
      </c>
      <c r="C28" s="79">
        <v>9</v>
      </c>
      <c r="D28" s="80">
        <v>778</v>
      </c>
      <c r="E28" s="81">
        <v>100844255</v>
      </c>
      <c r="F28" s="82" t="s">
        <v>70</v>
      </c>
      <c r="G28" s="83"/>
      <c r="H28" s="78"/>
      <c r="I28" s="83"/>
      <c r="J28" s="78"/>
      <c r="K28" s="83" t="s">
        <v>131</v>
      </c>
      <c r="L28" s="78" t="s">
        <v>131</v>
      </c>
      <c r="M28" s="78">
        <f t="shared" si="4"/>
        <v>0</v>
      </c>
      <c r="N28" s="78">
        <f t="shared" si="5"/>
        <v>0</v>
      </c>
      <c r="O28" s="78">
        <f t="shared" si="6"/>
        <v>0</v>
      </c>
      <c r="P28" s="78"/>
      <c r="Q28" s="78"/>
      <c r="R28" s="78">
        <f t="shared" si="7"/>
        <v>0</v>
      </c>
      <c r="T28" s="84"/>
      <c r="V28" s="85"/>
      <c r="AA28" s="20"/>
      <c r="AH28"/>
    </row>
    <row r="29" spans="2:34" x14ac:dyDescent="0.35">
      <c r="B29" s="101" t="s">
        <v>62</v>
      </c>
      <c r="C29" s="102">
        <v>7</v>
      </c>
      <c r="D29" s="102">
        <v>867</v>
      </c>
      <c r="E29" s="103">
        <v>100843947</v>
      </c>
      <c r="F29" s="103" t="s">
        <v>68</v>
      </c>
      <c r="G29" s="102"/>
      <c r="H29" s="101"/>
      <c r="I29" s="102"/>
      <c r="J29" s="101"/>
      <c r="K29" s="102" t="s">
        <v>131</v>
      </c>
      <c r="L29" s="101" t="s">
        <v>131</v>
      </c>
      <c r="M29" s="101">
        <f t="shared" si="4"/>
        <v>0</v>
      </c>
      <c r="N29" s="101">
        <f t="shared" si="5"/>
        <v>0</v>
      </c>
      <c r="O29" s="101">
        <f t="shared" si="6"/>
        <v>0</v>
      </c>
      <c r="P29" s="101"/>
      <c r="Q29" s="101"/>
      <c r="R29" s="101">
        <f t="shared" si="7"/>
        <v>0</v>
      </c>
      <c r="T29" s="87"/>
      <c r="U29" s="87"/>
      <c r="V29" s="87"/>
      <c r="AA29" s="20"/>
      <c r="AH29"/>
    </row>
    <row r="30" spans="2:34" x14ac:dyDescent="0.35">
      <c r="B30" s="78" t="s">
        <v>32</v>
      </c>
      <c r="C30" s="79">
        <v>7</v>
      </c>
      <c r="D30" s="80">
        <v>1828</v>
      </c>
      <c r="E30" s="81">
        <v>100844650</v>
      </c>
      <c r="F30" s="82" t="s">
        <v>39</v>
      </c>
      <c r="G30" s="83"/>
      <c r="H30" s="78"/>
      <c r="I30" s="83"/>
      <c r="J30" s="78"/>
      <c r="K30" s="83" t="s">
        <v>131</v>
      </c>
      <c r="L30" s="78" t="s">
        <v>131</v>
      </c>
      <c r="M30" s="78">
        <f t="shared" si="4"/>
        <v>0</v>
      </c>
      <c r="N30" s="78">
        <f t="shared" si="5"/>
        <v>0</v>
      </c>
      <c r="O30" s="78">
        <f t="shared" si="6"/>
        <v>0</v>
      </c>
      <c r="P30" s="78"/>
      <c r="Q30" s="78"/>
      <c r="R30" s="78">
        <f t="shared" si="7"/>
        <v>0</v>
      </c>
      <c r="T30" s="84"/>
      <c r="V30" s="85"/>
      <c r="AA30" s="20"/>
      <c r="AH30"/>
    </row>
    <row r="31" spans="2:34" x14ac:dyDescent="0.35">
      <c r="B31" s="77" t="s">
        <v>32</v>
      </c>
      <c r="C31" s="76">
        <v>8</v>
      </c>
      <c r="D31" s="76">
        <v>1764</v>
      </c>
      <c r="E31" s="86">
        <v>100846249</v>
      </c>
      <c r="F31" s="86" t="s">
        <v>41</v>
      </c>
      <c r="G31" s="76"/>
      <c r="H31" s="77"/>
      <c r="I31" s="76"/>
      <c r="J31" s="77"/>
      <c r="K31" s="76" t="s">
        <v>131</v>
      </c>
      <c r="L31" s="77" t="s">
        <v>131</v>
      </c>
      <c r="M31" s="77">
        <f t="shared" si="4"/>
        <v>0</v>
      </c>
      <c r="N31" s="77">
        <f t="shared" si="5"/>
        <v>0</v>
      </c>
      <c r="O31" s="77">
        <f t="shared" si="6"/>
        <v>0</v>
      </c>
      <c r="P31" s="77"/>
      <c r="Q31" s="77"/>
      <c r="R31" s="77">
        <f t="shared" si="7"/>
        <v>0</v>
      </c>
      <c r="T31" s="87"/>
      <c r="U31" s="87"/>
      <c r="V31" s="87"/>
      <c r="AA31" s="20"/>
      <c r="AH31"/>
    </row>
    <row r="32" spans="2:34" x14ac:dyDescent="0.35">
      <c r="B32" s="78" t="s">
        <v>55</v>
      </c>
      <c r="C32" s="79">
        <v>4</v>
      </c>
      <c r="D32" s="80">
        <v>9733</v>
      </c>
      <c r="E32" s="81">
        <v>100846087</v>
      </c>
      <c r="F32" s="82" t="s">
        <v>56</v>
      </c>
      <c r="G32" s="83"/>
      <c r="H32" s="78"/>
      <c r="I32" s="83"/>
      <c r="J32" s="78"/>
      <c r="K32" s="83" t="s">
        <v>131</v>
      </c>
      <c r="L32" s="78" t="s">
        <v>131</v>
      </c>
      <c r="M32" s="78">
        <f t="shared" si="4"/>
        <v>0</v>
      </c>
      <c r="N32" s="78">
        <f t="shared" si="5"/>
        <v>0</v>
      </c>
      <c r="O32" s="78">
        <f t="shared" si="6"/>
        <v>0</v>
      </c>
      <c r="P32" s="78"/>
      <c r="Q32" s="78"/>
      <c r="R32" s="78">
        <f t="shared" si="7"/>
        <v>0</v>
      </c>
      <c r="T32" s="84"/>
      <c r="V32" s="85"/>
      <c r="AA32" s="20"/>
      <c r="AH32"/>
    </row>
    <row r="33" spans="2:34" x14ac:dyDescent="0.35">
      <c r="B33" s="77" t="s">
        <v>57</v>
      </c>
      <c r="C33" s="76">
        <v>5</v>
      </c>
      <c r="D33" s="76">
        <v>9764</v>
      </c>
      <c r="E33" s="86">
        <v>100845749</v>
      </c>
      <c r="F33" s="86" t="s">
        <v>58</v>
      </c>
      <c r="G33" s="76"/>
      <c r="H33" s="77"/>
      <c r="I33" s="76"/>
      <c r="J33" s="77"/>
      <c r="K33" s="76" t="s">
        <v>131</v>
      </c>
      <c r="L33" s="77" t="s">
        <v>131</v>
      </c>
      <c r="M33" s="77">
        <f t="shared" si="4"/>
        <v>0</v>
      </c>
      <c r="N33" s="77">
        <f t="shared" si="5"/>
        <v>0</v>
      </c>
      <c r="O33" s="77">
        <f t="shared" si="6"/>
        <v>0</v>
      </c>
      <c r="P33" s="77"/>
      <c r="Q33" s="77"/>
      <c r="R33" s="77">
        <f t="shared" si="7"/>
        <v>0</v>
      </c>
      <c r="T33" s="87"/>
      <c r="U33" s="87"/>
      <c r="V33" s="87"/>
      <c r="AA33" s="20"/>
      <c r="AH33"/>
    </row>
    <row r="34" spans="2:34" x14ac:dyDescent="0.35">
      <c r="B34" s="78" t="s">
        <v>53</v>
      </c>
      <c r="C34" s="79">
        <v>10</v>
      </c>
      <c r="D34" s="80">
        <v>678</v>
      </c>
      <c r="E34" s="81">
        <v>100849399</v>
      </c>
      <c r="F34" s="82" t="s">
        <v>54</v>
      </c>
      <c r="G34" s="83"/>
      <c r="H34" s="78"/>
      <c r="I34" s="83"/>
      <c r="J34" s="78"/>
      <c r="K34" s="83" t="s">
        <v>131</v>
      </c>
      <c r="L34" s="78" t="s">
        <v>131</v>
      </c>
      <c r="M34" s="78">
        <f t="shared" si="4"/>
        <v>0</v>
      </c>
      <c r="N34" s="78">
        <f t="shared" si="5"/>
        <v>0</v>
      </c>
      <c r="O34" s="78">
        <f t="shared" si="6"/>
        <v>0</v>
      </c>
      <c r="P34" s="78"/>
      <c r="Q34" s="78"/>
      <c r="R34" s="78">
        <f t="shared" si="7"/>
        <v>0</v>
      </c>
      <c r="T34" s="84"/>
      <c r="V34" s="85"/>
      <c r="AA34" s="20"/>
      <c r="AH34"/>
    </row>
    <row r="35" spans="2:34" x14ac:dyDescent="0.35">
      <c r="B35" s="77" t="s">
        <v>32</v>
      </c>
      <c r="C35" s="76">
        <v>9</v>
      </c>
      <c r="D35" s="76">
        <v>1855</v>
      </c>
      <c r="E35" s="86">
        <v>100848909</v>
      </c>
      <c r="F35" s="86" t="s">
        <v>46</v>
      </c>
      <c r="G35" s="76"/>
      <c r="H35" s="77"/>
      <c r="I35" s="76"/>
      <c r="J35" s="77"/>
      <c r="K35" s="76" t="s">
        <v>131</v>
      </c>
      <c r="L35" s="77" t="s">
        <v>131</v>
      </c>
      <c r="M35" s="77">
        <f t="shared" si="4"/>
        <v>0</v>
      </c>
      <c r="N35" s="77">
        <f t="shared" si="5"/>
        <v>0</v>
      </c>
      <c r="O35" s="77">
        <f t="shared" si="6"/>
        <v>0</v>
      </c>
      <c r="P35" s="77"/>
      <c r="Q35" s="77"/>
      <c r="R35" s="77">
        <f t="shared" si="7"/>
        <v>0</v>
      </c>
      <c r="T35" s="87"/>
      <c r="U35" s="87"/>
      <c r="V35" s="87"/>
      <c r="AA35" s="20"/>
      <c r="AH35"/>
    </row>
    <row r="36" spans="2:34" x14ac:dyDescent="0.35">
      <c r="B36" s="78" t="s">
        <v>32</v>
      </c>
      <c r="C36" s="79">
        <v>8</v>
      </c>
      <c r="D36" s="80">
        <v>1884</v>
      </c>
      <c r="E36" s="81">
        <v>100844052</v>
      </c>
      <c r="F36" s="82" t="s">
        <v>42</v>
      </c>
      <c r="G36" s="83"/>
      <c r="H36" s="78"/>
      <c r="I36" s="83"/>
      <c r="J36" s="78"/>
      <c r="K36" s="83" t="s">
        <v>131</v>
      </c>
      <c r="L36" s="78" t="s">
        <v>131</v>
      </c>
      <c r="M36" s="78">
        <f t="shared" si="4"/>
        <v>0</v>
      </c>
      <c r="N36" s="78">
        <f t="shared" si="5"/>
        <v>0</v>
      </c>
      <c r="O36" s="78">
        <f t="shared" si="6"/>
        <v>0</v>
      </c>
      <c r="P36" s="78"/>
      <c r="Q36" s="78"/>
      <c r="R36" s="78">
        <f t="shared" si="7"/>
        <v>0</v>
      </c>
      <c r="T36" s="84"/>
      <c r="V36" s="85"/>
      <c r="AA36" s="20"/>
      <c r="AH36"/>
    </row>
    <row r="37" spans="2:34" x14ac:dyDescent="0.35">
      <c r="B37" s="77" t="s">
        <v>49</v>
      </c>
      <c r="C37" s="76">
        <v>10</v>
      </c>
      <c r="D37" s="76">
        <v>688</v>
      </c>
      <c r="E37" s="86">
        <v>100847719</v>
      </c>
      <c r="F37" s="86" t="s">
        <v>52</v>
      </c>
      <c r="G37" s="76"/>
      <c r="H37" s="77"/>
      <c r="I37" s="76"/>
      <c r="J37" s="77"/>
      <c r="K37" s="76" t="s">
        <v>131</v>
      </c>
      <c r="L37" s="77" t="s">
        <v>131</v>
      </c>
      <c r="M37" s="77">
        <f t="shared" si="4"/>
        <v>0</v>
      </c>
      <c r="N37" s="77">
        <f t="shared" si="5"/>
        <v>0</v>
      </c>
      <c r="O37" s="77">
        <f t="shared" si="6"/>
        <v>0</v>
      </c>
      <c r="P37" s="77"/>
      <c r="Q37" s="77"/>
      <c r="R37" s="77">
        <f t="shared" si="7"/>
        <v>0</v>
      </c>
      <c r="T37" s="87"/>
      <c r="U37" s="87"/>
      <c r="V37" s="87"/>
      <c r="AA37" s="20"/>
      <c r="AH37"/>
    </row>
    <row r="38" spans="2:34" ht="15" thickBot="1" x14ac:dyDescent="0.4">
      <c r="B38" s="88" t="s">
        <v>32</v>
      </c>
      <c r="C38" s="89">
        <v>6</v>
      </c>
      <c r="D38" s="90">
        <v>2355</v>
      </c>
      <c r="E38" s="91">
        <v>100851264</v>
      </c>
      <c r="F38" s="92" t="s">
        <v>38</v>
      </c>
      <c r="G38" s="93"/>
      <c r="H38" s="88"/>
      <c r="I38" s="93"/>
      <c r="J38" s="88"/>
      <c r="K38" s="93" t="s">
        <v>131</v>
      </c>
      <c r="L38" s="88" t="s">
        <v>131</v>
      </c>
      <c r="M38" s="88">
        <f t="shared" si="4"/>
        <v>0</v>
      </c>
      <c r="N38" s="88">
        <f t="shared" si="5"/>
        <v>0</v>
      </c>
      <c r="O38" s="88">
        <f t="shared" si="6"/>
        <v>0</v>
      </c>
      <c r="P38" s="88"/>
      <c r="Q38" s="88"/>
      <c r="R38" s="88">
        <f t="shared" si="7"/>
        <v>0</v>
      </c>
      <c r="T38" s="84"/>
      <c r="V38" s="85"/>
      <c r="AA38" s="20"/>
      <c r="AH38"/>
    </row>
    <row r="39" spans="2:34" ht="15" thickTop="1" x14ac:dyDescent="0.35">
      <c r="B39" s="94" t="s">
        <v>73</v>
      </c>
      <c r="C39" s="95">
        <v>5</v>
      </c>
      <c r="D39" s="95">
        <v>447</v>
      </c>
      <c r="E39" s="96">
        <v>100851236</v>
      </c>
      <c r="F39" s="96" t="s">
        <v>74</v>
      </c>
      <c r="G39" s="95"/>
      <c r="H39" s="94"/>
      <c r="I39" s="95"/>
      <c r="J39" s="94"/>
      <c r="K39" s="95" t="s">
        <v>131</v>
      </c>
      <c r="L39" s="94" t="s">
        <v>131</v>
      </c>
      <c r="M39" s="94">
        <f t="shared" si="4"/>
        <v>0</v>
      </c>
      <c r="N39" s="94">
        <f t="shared" si="5"/>
        <v>0</v>
      </c>
      <c r="O39" s="94">
        <f t="shared" si="6"/>
        <v>0</v>
      </c>
      <c r="P39" s="94"/>
      <c r="Q39" s="94"/>
      <c r="R39" s="94">
        <f t="shared" si="7"/>
        <v>0</v>
      </c>
      <c r="T39" s="87"/>
      <c r="U39" s="87"/>
      <c r="V39" s="87"/>
      <c r="AA39" s="20"/>
      <c r="AH39"/>
    </row>
    <row r="40" spans="2:34" x14ac:dyDescent="0.35">
      <c r="B40" s="101" t="s">
        <v>73</v>
      </c>
      <c r="C40" s="102">
        <v>6</v>
      </c>
      <c r="D40" s="102">
        <v>360</v>
      </c>
      <c r="E40" s="103">
        <v>100843337</v>
      </c>
      <c r="F40" s="103" t="s">
        <v>82</v>
      </c>
      <c r="G40" s="102"/>
      <c r="H40" s="101"/>
      <c r="I40" s="102"/>
      <c r="J40" s="101"/>
      <c r="K40" s="102" t="s">
        <v>131</v>
      </c>
      <c r="L40" s="101" t="s">
        <v>131</v>
      </c>
      <c r="M40" s="101">
        <f t="shared" si="4"/>
        <v>0</v>
      </c>
      <c r="N40" s="101">
        <f t="shared" si="5"/>
        <v>0</v>
      </c>
      <c r="O40" s="101">
        <f t="shared" si="6"/>
        <v>0</v>
      </c>
      <c r="P40" s="101"/>
      <c r="Q40" s="101"/>
      <c r="R40" s="101">
        <f t="shared" si="7"/>
        <v>0</v>
      </c>
      <c r="T40" s="87"/>
      <c r="U40" s="87"/>
      <c r="V40" s="87"/>
      <c r="AA40" s="20"/>
      <c r="AH40"/>
    </row>
    <row r="41" spans="2:34" x14ac:dyDescent="0.35">
      <c r="B41" s="77" t="s">
        <v>73</v>
      </c>
      <c r="C41" s="76">
        <v>6</v>
      </c>
      <c r="D41" s="76">
        <v>403</v>
      </c>
      <c r="E41" s="86">
        <v>100842110</v>
      </c>
      <c r="F41" s="86" t="s">
        <v>83</v>
      </c>
      <c r="G41" s="76"/>
      <c r="H41" s="77" t="s">
        <v>146</v>
      </c>
      <c r="I41" s="76"/>
      <c r="J41" s="77"/>
      <c r="K41" s="76" t="s">
        <v>131</v>
      </c>
      <c r="L41" s="77" t="s">
        <v>131</v>
      </c>
      <c r="M41" s="77">
        <f t="shared" si="4"/>
        <v>0</v>
      </c>
      <c r="N41" s="77">
        <f t="shared" si="5"/>
        <v>0</v>
      </c>
      <c r="O41" s="77">
        <f t="shared" si="6"/>
        <v>0</v>
      </c>
      <c r="P41" s="77"/>
      <c r="Q41" s="77"/>
      <c r="R41" s="77">
        <f t="shared" si="7"/>
        <v>0</v>
      </c>
      <c r="T41" s="87"/>
      <c r="U41" s="87"/>
      <c r="V41" s="87"/>
      <c r="AA41" s="20"/>
      <c r="AH41"/>
    </row>
    <row r="42" spans="2:34" x14ac:dyDescent="0.35">
      <c r="B42" s="78" t="s">
        <v>71</v>
      </c>
      <c r="C42" s="79">
        <v>6</v>
      </c>
      <c r="D42" s="80">
        <v>359</v>
      </c>
      <c r="E42" s="81">
        <v>100840461</v>
      </c>
      <c r="F42" s="82" t="s">
        <v>77</v>
      </c>
      <c r="G42" s="83"/>
      <c r="H42" s="78"/>
      <c r="I42" s="83"/>
      <c r="J42" s="78"/>
      <c r="K42" s="83" t="s">
        <v>131</v>
      </c>
      <c r="L42" s="78" t="s">
        <v>131</v>
      </c>
      <c r="M42" s="78">
        <f t="shared" si="4"/>
        <v>0</v>
      </c>
      <c r="N42" s="78">
        <f t="shared" si="5"/>
        <v>0</v>
      </c>
      <c r="O42" s="78">
        <f t="shared" si="6"/>
        <v>0</v>
      </c>
      <c r="P42" s="78"/>
      <c r="Q42" s="78"/>
      <c r="R42" s="78">
        <f t="shared" si="7"/>
        <v>0</v>
      </c>
      <c r="T42" s="84"/>
      <c r="V42" s="85"/>
      <c r="AA42" s="20"/>
      <c r="AH42"/>
    </row>
    <row r="43" spans="2:34" x14ac:dyDescent="0.35">
      <c r="B43" s="77" t="s">
        <v>71</v>
      </c>
      <c r="C43" s="76">
        <v>6</v>
      </c>
      <c r="D43" s="76">
        <v>378</v>
      </c>
      <c r="E43" s="86">
        <v>100842580</v>
      </c>
      <c r="F43" s="86" t="s">
        <v>78</v>
      </c>
      <c r="G43" s="76"/>
      <c r="H43" s="77"/>
      <c r="I43" s="76"/>
      <c r="J43" s="77"/>
      <c r="K43" s="76" t="s">
        <v>131</v>
      </c>
      <c r="L43" s="77" t="s">
        <v>131</v>
      </c>
      <c r="M43" s="77">
        <f t="shared" si="4"/>
        <v>0</v>
      </c>
      <c r="N43" s="77">
        <f t="shared" si="5"/>
        <v>0</v>
      </c>
      <c r="O43" s="77">
        <f t="shared" si="6"/>
        <v>0</v>
      </c>
      <c r="P43" s="77"/>
      <c r="Q43" s="77"/>
      <c r="R43" s="77">
        <f t="shared" si="7"/>
        <v>0</v>
      </c>
      <c r="T43" s="87"/>
      <c r="U43" s="87"/>
      <c r="V43" s="87"/>
      <c r="AA43" s="20"/>
      <c r="AH43"/>
    </row>
    <row r="44" spans="2:34" x14ac:dyDescent="0.35">
      <c r="B44" s="78" t="s">
        <v>71</v>
      </c>
      <c r="C44" s="79">
        <v>6</v>
      </c>
      <c r="D44" s="80">
        <v>362</v>
      </c>
      <c r="E44" s="81">
        <v>100849433</v>
      </c>
      <c r="F44" s="82" t="s">
        <v>79</v>
      </c>
      <c r="G44" s="83"/>
      <c r="H44" s="78"/>
      <c r="I44" s="83"/>
      <c r="J44" s="78"/>
      <c r="K44" s="83" t="s">
        <v>131</v>
      </c>
      <c r="L44" s="78" t="s">
        <v>131</v>
      </c>
      <c r="M44" s="78">
        <f t="shared" si="4"/>
        <v>0</v>
      </c>
      <c r="N44" s="78">
        <f t="shared" si="5"/>
        <v>0</v>
      </c>
      <c r="O44" s="78">
        <f t="shared" si="6"/>
        <v>0</v>
      </c>
      <c r="P44" s="78"/>
      <c r="Q44" s="78"/>
      <c r="R44" s="78">
        <f t="shared" si="7"/>
        <v>0</v>
      </c>
      <c r="T44" s="84"/>
      <c r="V44" s="85"/>
      <c r="AA44" s="20"/>
      <c r="AH44"/>
    </row>
    <row r="45" spans="2:34" x14ac:dyDescent="0.35">
      <c r="B45" s="77" t="s">
        <v>73</v>
      </c>
      <c r="C45" s="76">
        <v>5</v>
      </c>
      <c r="D45" s="76">
        <v>297</v>
      </c>
      <c r="E45" s="86">
        <v>100842732</v>
      </c>
      <c r="F45" s="86" t="s">
        <v>75</v>
      </c>
      <c r="G45" s="76"/>
      <c r="H45" s="77"/>
      <c r="I45" s="76"/>
      <c r="J45" s="77"/>
      <c r="K45" s="76" t="s">
        <v>131</v>
      </c>
      <c r="L45" s="77" t="s">
        <v>131</v>
      </c>
      <c r="M45" s="77">
        <f t="shared" si="4"/>
        <v>0</v>
      </c>
      <c r="N45" s="77">
        <f t="shared" si="5"/>
        <v>0</v>
      </c>
      <c r="O45" s="77">
        <f t="shared" si="6"/>
        <v>0</v>
      </c>
      <c r="P45" s="77"/>
      <c r="Q45" s="77"/>
      <c r="R45" s="77">
        <f t="shared" si="7"/>
        <v>0</v>
      </c>
      <c r="T45" s="87"/>
      <c r="U45" s="87"/>
      <c r="V45" s="87"/>
      <c r="AA45" s="20"/>
      <c r="AH45"/>
    </row>
    <row r="46" spans="2:34" x14ac:dyDescent="0.35">
      <c r="B46" s="78" t="s">
        <v>73</v>
      </c>
      <c r="C46" s="79">
        <v>5</v>
      </c>
      <c r="D46" s="80">
        <v>498</v>
      </c>
      <c r="E46" s="81">
        <v>100845334</v>
      </c>
      <c r="F46" s="82" t="s">
        <v>76</v>
      </c>
      <c r="G46" s="83"/>
      <c r="H46" s="78"/>
      <c r="I46" s="83"/>
      <c r="J46" s="78"/>
      <c r="K46" s="83" t="s">
        <v>131</v>
      </c>
      <c r="L46" s="78" t="s">
        <v>131</v>
      </c>
      <c r="M46" s="78">
        <f t="shared" si="4"/>
        <v>0</v>
      </c>
      <c r="N46" s="78">
        <f t="shared" si="5"/>
        <v>0</v>
      </c>
      <c r="O46" s="78">
        <f t="shared" si="6"/>
        <v>0</v>
      </c>
      <c r="P46" s="78"/>
      <c r="Q46" s="78"/>
      <c r="R46" s="78">
        <f t="shared" si="7"/>
        <v>0</v>
      </c>
      <c r="T46" s="84"/>
      <c r="V46" s="85"/>
      <c r="AA46" s="20"/>
      <c r="AH46"/>
    </row>
    <row r="47" spans="2:34" x14ac:dyDescent="0.35">
      <c r="B47" s="77" t="s">
        <v>71</v>
      </c>
      <c r="C47" s="76">
        <v>6</v>
      </c>
      <c r="D47" s="76">
        <v>766</v>
      </c>
      <c r="E47" s="86">
        <v>100849802</v>
      </c>
      <c r="F47" s="86" t="s">
        <v>80</v>
      </c>
      <c r="G47" s="76"/>
      <c r="H47" s="77"/>
      <c r="I47" s="76"/>
      <c r="J47" s="77"/>
      <c r="K47" s="76" t="s">
        <v>131</v>
      </c>
      <c r="L47" s="77" t="s">
        <v>131</v>
      </c>
      <c r="M47" s="77">
        <f t="shared" si="4"/>
        <v>0</v>
      </c>
      <c r="N47" s="77">
        <f t="shared" si="5"/>
        <v>0</v>
      </c>
      <c r="O47" s="77">
        <f t="shared" si="6"/>
        <v>0</v>
      </c>
      <c r="P47" s="77"/>
      <c r="Q47" s="77"/>
      <c r="R47" s="77">
        <f t="shared" si="7"/>
        <v>0</v>
      </c>
      <c r="T47" s="87"/>
      <c r="U47" s="87"/>
      <c r="V47" s="87"/>
      <c r="AA47" s="20"/>
      <c r="AH47"/>
    </row>
    <row r="48" spans="2:34" x14ac:dyDescent="0.35">
      <c r="B48" s="78" t="s">
        <v>71</v>
      </c>
      <c r="C48" s="79">
        <v>6</v>
      </c>
      <c r="D48" s="80">
        <v>175</v>
      </c>
      <c r="E48" s="81">
        <v>100843638</v>
      </c>
      <c r="F48" s="82" t="s">
        <v>81</v>
      </c>
      <c r="G48" s="83"/>
      <c r="H48" s="78"/>
      <c r="I48" s="83"/>
      <c r="J48" s="78"/>
      <c r="K48" s="83" t="s">
        <v>131</v>
      </c>
      <c r="L48" s="78" t="s">
        <v>131</v>
      </c>
      <c r="M48" s="78">
        <f t="shared" si="4"/>
        <v>0</v>
      </c>
      <c r="N48" s="78">
        <f t="shared" si="5"/>
        <v>0</v>
      </c>
      <c r="O48" s="78">
        <f t="shared" si="6"/>
        <v>0</v>
      </c>
      <c r="P48" s="78"/>
      <c r="Q48" s="78"/>
      <c r="R48" s="78">
        <f t="shared" si="7"/>
        <v>0</v>
      </c>
      <c r="T48" s="84"/>
      <c r="V48" s="85"/>
      <c r="AA48" s="20"/>
      <c r="AH48"/>
    </row>
    <row r="49" spans="2:34" x14ac:dyDescent="0.35">
      <c r="B49" s="77" t="s">
        <v>71</v>
      </c>
      <c r="C49" s="76">
        <v>5</v>
      </c>
      <c r="D49" s="76">
        <v>535</v>
      </c>
      <c r="E49" s="86">
        <v>100848709</v>
      </c>
      <c r="F49" s="86" t="s">
        <v>72</v>
      </c>
      <c r="G49" s="76"/>
      <c r="H49" s="77" t="s">
        <v>146</v>
      </c>
      <c r="I49" s="76"/>
      <c r="J49" s="77"/>
      <c r="K49" s="76" t="s">
        <v>131</v>
      </c>
      <c r="L49" s="77" t="s">
        <v>131</v>
      </c>
      <c r="M49" s="77">
        <f t="shared" si="4"/>
        <v>0</v>
      </c>
      <c r="N49" s="77">
        <f t="shared" si="5"/>
        <v>0</v>
      </c>
      <c r="O49" s="77">
        <f t="shared" si="6"/>
        <v>0</v>
      </c>
      <c r="P49" s="77"/>
      <c r="Q49" s="77"/>
      <c r="R49" s="77">
        <f t="shared" si="7"/>
        <v>0</v>
      </c>
      <c r="T49" s="87"/>
      <c r="U49" s="87"/>
      <c r="V49" s="87"/>
      <c r="AA49" s="20"/>
      <c r="AH49"/>
    </row>
    <row r="50" spans="2:34" x14ac:dyDescent="0.35">
      <c r="B50" s="78" t="s">
        <v>73</v>
      </c>
      <c r="C50" s="79">
        <v>6</v>
      </c>
      <c r="D50" s="80">
        <v>468</v>
      </c>
      <c r="E50" s="81">
        <v>100844013</v>
      </c>
      <c r="F50" s="82" t="s">
        <v>84</v>
      </c>
      <c r="G50" s="83"/>
      <c r="H50" s="78"/>
      <c r="I50" s="83"/>
      <c r="J50" s="78"/>
      <c r="K50" s="83" t="s">
        <v>131</v>
      </c>
      <c r="L50" s="78" t="s">
        <v>131</v>
      </c>
      <c r="M50" s="78">
        <f t="shared" si="4"/>
        <v>0</v>
      </c>
      <c r="N50" s="78">
        <f t="shared" si="5"/>
        <v>0</v>
      </c>
      <c r="O50" s="78">
        <f t="shared" si="6"/>
        <v>0</v>
      </c>
      <c r="P50" s="78"/>
      <c r="Q50" s="78"/>
      <c r="R50" s="78">
        <f t="shared" si="7"/>
        <v>0</v>
      </c>
      <c r="S50" s="18">
        <v>40</v>
      </c>
      <c r="T50" s="84"/>
      <c r="V50" s="85"/>
      <c r="AA50" s="20"/>
      <c r="AH50"/>
    </row>
    <row r="52" spans="2:34" x14ac:dyDescent="0.35">
      <c r="F52" s="97" t="s">
        <v>138</v>
      </c>
      <c r="H52" s="98" t="s">
        <v>125</v>
      </c>
      <c r="I52" s="98"/>
      <c r="J52" s="98" t="s">
        <v>127</v>
      </c>
    </row>
    <row r="53" spans="2:34" x14ac:dyDescent="0.35">
      <c r="F53" t="s">
        <v>139</v>
      </c>
      <c r="H53" s="99" t="e">
        <f>AVERAGE(H8:H50)</f>
        <v>#DIV/0!</v>
      </c>
      <c r="I53" s="99"/>
      <c r="J53" s="99" t="e">
        <f t="shared" ref="J53" si="8">AVERAGE(J8:J50)</f>
        <v>#DIV/0!</v>
      </c>
    </row>
    <row r="54" spans="2:34" x14ac:dyDescent="0.35">
      <c r="F54" t="s">
        <v>140</v>
      </c>
      <c r="H54" s="100" t="e">
        <f>_xlfn.STDEV.P(H8:H50)</f>
        <v>#DIV/0!</v>
      </c>
      <c r="I54" s="100"/>
      <c r="J54" s="100" t="e">
        <f t="shared" ref="J54" si="9">_xlfn.STDEV.P(J8:J50)</f>
        <v>#DIV/0!</v>
      </c>
    </row>
    <row r="55" spans="2:34" x14ac:dyDescent="0.35">
      <c r="F55" t="s">
        <v>141</v>
      </c>
      <c r="H55">
        <f>COUNTIF(H8:H50,"&gt;=60")</f>
        <v>0</v>
      </c>
      <c r="J55">
        <f t="shared" ref="J55" si="10">COUNTIF(J8:J50,"&gt;=60")</f>
        <v>0</v>
      </c>
    </row>
    <row r="56" spans="2:34" x14ac:dyDescent="0.35">
      <c r="F56" t="s">
        <v>142</v>
      </c>
      <c r="H56">
        <f>H59-H55-H57-H58</f>
        <v>-6</v>
      </c>
      <c r="J56">
        <f t="shared" ref="J56" si="11">J59-J55-J57-J58</f>
        <v>0</v>
      </c>
    </row>
    <row r="57" spans="2:34" x14ac:dyDescent="0.35">
      <c r="F57" t="s">
        <v>143</v>
      </c>
      <c r="H57">
        <f>COUNTIF(H8:H50,"&lt;30")</f>
        <v>0</v>
      </c>
      <c r="J57">
        <f t="shared" ref="J57" si="12">COUNTIF(J8:J50,"&lt;30")</f>
        <v>0</v>
      </c>
    </row>
    <row r="58" spans="2:34" x14ac:dyDescent="0.35">
      <c r="F58" t="s">
        <v>144</v>
      </c>
      <c r="H58">
        <f>COUNTIF(H8:H50,"=NC")</f>
        <v>6</v>
      </c>
      <c r="J58">
        <f t="shared" ref="J58" si="13">COUNTIF(J8:J50,"=NC")</f>
        <v>0</v>
      </c>
    </row>
    <row r="59" spans="2:34" x14ac:dyDescent="0.35">
      <c r="F59" t="s">
        <v>145</v>
      </c>
      <c r="I59" s="18"/>
      <c r="J59" s="18"/>
    </row>
  </sheetData>
  <sortState ref="A39:AA50">
    <sortCondition ref="F39:F50"/>
  </sortState>
  <dataConsolidate/>
  <phoneticPr fontId="0" type="noConversion"/>
  <conditionalFormatting sqref="R8 R10 R12 R16 R18 R20 R22 R24 R26 R28 R30 R32 R34 R36 R38 R42 R44 R46 R48 R50">
    <cfRule type="cellIs" dxfId="618" priority="19" operator="lessThan">
      <formula>50</formula>
    </cfRule>
    <cfRule type="cellIs" dxfId="617" priority="20" operator="greaterThanOrEqual">
      <formula>50</formula>
    </cfRule>
  </conditionalFormatting>
  <conditionalFormatting sqref="L8:O8 L10:O10 L12:O12 L16:O16 L18:O18 L20:O20 L22:O22 L24:O24 L26:O26 L28:O28 L30:O30 L32:O32 L34:O34 L36:O36 L38:O38 L42:O42 L44:O44 L46:O46 L48:O48 L50:O50 Q8 Q10 Q12 Q16 Q18 Q20 Q22 Q24 Q26 Q28 Q30 Q32 Q34 Q36 Q38 Q42 Q44 Q46 Q48 Q50 H8 H10 H12 H16 H18 H20 H22 H24 H26 H28 H30 H32 H34 H36 H38 H42 H44 H46 H48 H50 J8 J10 J12 J16 J18 J20 J22 J24 J26 J28 J30 J32 J34 J36 J38 J42 J44 J46 J48 J50">
    <cfRule type="cellIs" dxfId="616" priority="16" operator="lessThan">
      <formula>30</formula>
    </cfRule>
    <cfRule type="cellIs" dxfId="615" priority="17" operator="between">
      <formula>30</formula>
      <formula>59</formula>
    </cfRule>
    <cfRule type="cellIs" dxfId="614" priority="18" operator="greaterThanOrEqual">
      <formula>60</formula>
    </cfRule>
  </conditionalFormatting>
  <conditionalFormatting sqref="R9 R11 R13 R15 R17 R19 R21 R23 R25 R27 R29 R31 R33 R35 R37 R39 R41 R43 R45 R47 R49">
    <cfRule type="cellIs" dxfId="613" priority="14" operator="lessThan">
      <formula>50</formula>
    </cfRule>
    <cfRule type="cellIs" dxfId="612" priority="15" operator="greaterThanOrEqual">
      <formula>50</formula>
    </cfRule>
  </conditionalFormatting>
  <conditionalFormatting sqref="L9:O9 L11:O11 L13:O13 L15:O15 L17:O17 L19:O19 L21:O21 L23:O23 L25:O25 L27:O27 L29:O29 L31:O31 L33:O33 L35:O35 L37:O37 L39:O39 L41:O41 L43:O43 L45:O45 L47:O47 L49:O49 Q9 Q11 Q13 Q15 Q17 Q19 Q21 Q23 Q25 Q27 Q29 Q31 Q33 Q35 Q37 Q39 Q41 Q43 Q45 Q47 Q49 H9 H11 H13 H15 H17 H19 H21 H23 H25 H27 H29 H31 H33 H35 H37 H39 H41 H43 H45 H47 H49 J9 J11 J13 J15 J17 J19 J21 J23 J25 J27 J29 J31 J33 J35 J37 J39 J41 J43 J45 J47 J49">
    <cfRule type="cellIs" dxfId="611" priority="11" operator="lessThan">
      <formula>30</formula>
    </cfRule>
    <cfRule type="cellIs" dxfId="610" priority="12" operator="between">
      <formula>30</formula>
      <formula>59</formula>
    </cfRule>
    <cfRule type="cellIs" dxfId="609" priority="13" operator="greaterThanOrEqual">
      <formula>60</formula>
    </cfRule>
  </conditionalFormatting>
  <conditionalFormatting sqref="R14">
    <cfRule type="cellIs" dxfId="608" priority="9" operator="lessThan">
      <formula>50</formula>
    </cfRule>
    <cfRule type="cellIs" dxfId="607" priority="10" operator="greaterThanOrEqual">
      <formula>50</formula>
    </cfRule>
  </conditionalFormatting>
  <conditionalFormatting sqref="L14:O14 Q14 H14 J14">
    <cfRule type="cellIs" dxfId="606" priority="6" operator="lessThan">
      <formula>30</formula>
    </cfRule>
    <cfRule type="cellIs" dxfId="605" priority="7" operator="between">
      <formula>30</formula>
      <formula>59</formula>
    </cfRule>
    <cfRule type="cellIs" dxfId="604" priority="8" operator="greaterThanOrEqual">
      <formula>60</formula>
    </cfRule>
  </conditionalFormatting>
  <conditionalFormatting sqref="R40">
    <cfRule type="cellIs" dxfId="603" priority="4" operator="lessThan">
      <formula>50</formula>
    </cfRule>
    <cfRule type="cellIs" dxfId="602" priority="5" operator="greaterThanOrEqual">
      <formula>50</formula>
    </cfRule>
  </conditionalFormatting>
  <conditionalFormatting sqref="L40:O40 Q40 H40 J40">
    <cfRule type="cellIs" dxfId="601" priority="1" operator="lessThan">
      <formula>30</formula>
    </cfRule>
    <cfRule type="cellIs" dxfId="600" priority="2" operator="between">
      <formula>30</formula>
      <formula>59</formula>
    </cfRule>
    <cfRule type="cellIs" dxfId="599" priority="3" operator="greaterThanOrEqual">
      <formula>60</formula>
    </cfRule>
  </conditionalFormatting>
  <pageMargins left="0.511811024" right="0.511811024" top="0.78740157499999996" bottom="0.78740157499999996" header="0.31496062000000002" footer="0.31496062000000002"/>
  <pageSetup orientation="portrait" r:id="rId1"/>
  <drawing r:id="rId2"/>
  <legacyDrawing r:id="rId3"/>
  <controls>
    <mc:AlternateContent xmlns:mc="http://schemas.openxmlformats.org/markup-compatibility/2006">
      <mc:Choice Requires="x14">
        <control shapeId="1025" r:id="rId4" name="TrinStgClass1">
          <controlPr defaultSize="0" autoLine="0" r:id="rId5">
            <anchor moveWithCells="1">
              <from>
                <xdr:col>0</xdr:col>
                <xdr:colOff>0</xdr:colOff>
                <xdr:row>0</xdr:row>
                <xdr:rowOff>0</xdr:rowOff>
              </from>
              <to>
                <xdr:col>0</xdr:col>
                <xdr:colOff>12700</xdr:colOff>
                <xdr:row>0</xdr:row>
                <xdr:rowOff>12700</xdr:rowOff>
              </to>
            </anchor>
          </controlPr>
        </control>
      </mc:Choice>
      <mc:Fallback>
        <control shapeId="1025" r:id="rId4" name="TrinStgClass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dimension ref="A2:DK47"/>
  <sheetViews>
    <sheetView tabSelected="1" zoomScale="160" zoomScaleNormal="160" workbookViewId="0">
      <pane xSplit="8" ySplit="7" topLeftCell="BJ8" activePane="bottomRight" state="frozen"/>
      <selection pane="topRight" activeCell="H1" sqref="H1"/>
      <selection pane="bottomLeft" activeCell="A8" sqref="A8"/>
      <selection pane="bottomRight" activeCell="BX3" sqref="BX3"/>
    </sheetView>
  </sheetViews>
  <sheetFormatPr defaultColWidth="9.1796875" defaultRowHeight="14.5" x14ac:dyDescent="0.35"/>
  <cols>
    <col min="1" max="1" width="1.453125" customWidth="1"/>
    <col min="2" max="2" width="6.1796875" style="19" bestFit="1" customWidth="1"/>
    <col min="3" max="3" width="4.7265625" style="19" bestFit="1" customWidth="1"/>
    <col min="4" max="4" width="9.453125" style="19" bestFit="1" customWidth="1"/>
    <col min="5" max="5" width="8.81640625" hidden="1" customWidth="1"/>
    <col min="6" max="6" width="43.81640625" style="22" customWidth="1"/>
    <col min="7" max="7" width="0.90625" style="22" customWidth="1"/>
    <col min="8" max="8" width="1.08984375" style="22" customWidth="1"/>
    <col min="9" max="9" width="1.81640625" style="25" customWidth="1"/>
    <col min="10" max="24" width="2.7265625" style="24" customWidth="1"/>
    <col min="25" max="25" width="2.7265625" style="19" customWidth="1"/>
    <col min="26" max="26" width="1.81640625" customWidth="1"/>
    <col min="27" max="41" width="2.7265625" customWidth="1"/>
    <col min="42" max="42" width="3" bestFit="1" customWidth="1"/>
    <col min="43" max="43" width="1.81640625" customWidth="1"/>
    <col min="44" max="44" width="2.7265625" customWidth="1"/>
    <col min="45" max="53" width="2.7265625" style="19" customWidth="1"/>
    <col min="54" max="55" width="2.7265625" customWidth="1"/>
    <col min="56" max="56" width="2.7265625" style="19" customWidth="1"/>
    <col min="57" max="58" width="2.7265625" customWidth="1"/>
    <col min="59" max="59" width="3" bestFit="1" customWidth="1"/>
    <col min="60" max="60" width="1.81640625" customWidth="1"/>
    <col min="61" max="76" width="2.7265625" customWidth="1"/>
    <col min="77" max="77" width="1.7265625" customWidth="1"/>
    <col min="78" max="93" width="2.7265625" customWidth="1"/>
    <col min="94" max="94" width="1.7265625" style="25" customWidth="1"/>
    <col min="95" max="95" width="2.7265625" style="25" customWidth="1"/>
    <col min="96" max="96" width="2.7265625" style="19" customWidth="1"/>
    <col min="97" max="110" width="2.7265625" customWidth="1"/>
    <col min="111" max="111" width="2.1796875" customWidth="1"/>
    <col min="112" max="115" width="14.7265625" customWidth="1"/>
  </cols>
  <sheetData>
    <row r="2" spans="1:115" ht="15.65" customHeight="1" x14ac:dyDescent="0.35">
      <c r="A2" s="8" t="s">
        <v>6</v>
      </c>
      <c r="B2" s="6"/>
      <c r="C2" s="4"/>
      <c r="D2" s="21"/>
      <c r="I2" s="23"/>
      <c r="J2" s="132" t="s">
        <v>7</v>
      </c>
      <c r="K2" s="133"/>
      <c r="L2" s="133"/>
      <c r="M2" s="133"/>
      <c r="N2" s="133"/>
      <c r="O2" s="133"/>
      <c r="P2" s="133"/>
      <c r="Q2" s="133"/>
      <c r="R2" s="133"/>
      <c r="S2" s="134"/>
      <c r="T2" s="135">
        <f>SUM(Aula!B8:B99)</f>
        <v>80</v>
      </c>
      <c r="U2" s="136"/>
    </row>
    <row r="3" spans="1:115" ht="13.15" customHeight="1" x14ac:dyDescent="0.35">
      <c r="A3" s="10" t="s">
        <v>29</v>
      </c>
      <c r="B3" s="6"/>
      <c r="C3" s="4"/>
      <c r="D3" s="4"/>
      <c r="I3" s="26"/>
      <c r="J3" s="132" t="s">
        <v>8</v>
      </c>
      <c r="K3" s="133"/>
      <c r="L3" s="133"/>
      <c r="M3" s="133"/>
      <c r="N3" s="133"/>
      <c r="O3" s="133"/>
      <c r="P3" s="133"/>
      <c r="Q3" s="133"/>
      <c r="R3" s="133"/>
      <c r="S3" s="134"/>
      <c r="T3" s="135">
        <v>80</v>
      </c>
      <c r="U3" s="136"/>
    </row>
    <row r="4" spans="1:115" ht="12.75" customHeight="1" x14ac:dyDescent="0.35">
      <c r="A4" s="10" t="s">
        <v>30</v>
      </c>
      <c r="B4" s="6"/>
      <c r="C4" s="4"/>
      <c r="D4" s="4"/>
      <c r="I4" s="26"/>
      <c r="J4" s="27"/>
      <c r="K4" s="27"/>
      <c r="L4"/>
      <c r="M4"/>
      <c r="N4"/>
      <c r="O4"/>
      <c r="P4"/>
      <c r="Q4" s="27"/>
      <c r="R4" s="27"/>
      <c r="S4"/>
      <c r="T4"/>
      <c r="U4"/>
      <c r="V4"/>
      <c r="W4"/>
      <c r="X4"/>
      <c r="Y4" s="28"/>
      <c r="Z4" s="28"/>
      <c r="AA4" s="28"/>
      <c r="AB4" s="27"/>
      <c r="AC4" s="27"/>
      <c r="AE4" t="s">
        <v>122</v>
      </c>
      <c r="AZ4" s="34" t="s">
        <v>123</v>
      </c>
    </row>
    <row r="5" spans="1:115" x14ac:dyDescent="0.35">
      <c r="A5" s="10" t="s">
        <v>31</v>
      </c>
      <c r="B5" s="6"/>
      <c r="C5" s="4"/>
      <c r="D5" s="4"/>
      <c r="I5" s="26"/>
      <c r="J5">
        <v>1</v>
      </c>
      <c r="K5"/>
      <c r="L5"/>
      <c r="M5"/>
      <c r="N5"/>
      <c r="O5"/>
      <c r="P5"/>
      <c r="Q5"/>
      <c r="R5"/>
      <c r="S5"/>
      <c r="T5"/>
      <c r="U5"/>
      <c r="V5"/>
      <c r="W5"/>
      <c r="X5"/>
      <c r="Y5"/>
      <c r="AA5">
        <v>2</v>
      </c>
      <c r="AB5">
        <v>3</v>
      </c>
      <c r="AC5">
        <v>4</v>
      </c>
      <c r="AD5">
        <v>5</v>
      </c>
      <c r="AE5">
        <v>6</v>
      </c>
      <c r="AF5">
        <v>7</v>
      </c>
      <c r="AG5">
        <v>8</v>
      </c>
      <c r="AH5">
        <v>9</v>
      </c>
      <c r="AI5">
        <v>10</v>
      </c>
      <c r="AR5">
        <v>11</v>
      </c>
      <c r="AS5">
        <v>12</v>
      </c>
      <c r="AT5">
        <v>13</v>
      </c>
      <c r="AU5">
        <v>14</v>
      </c>
      <c r="AV5">
        <v>15</v>
      </c>
      <c r="AW5">
        <v>16</v>
      </c>
      <c r="AX5">
        <v>17</v>
      </c>
      <c r="AY5">
        <v>18</v>
      </c>
      <c r="AZ5">
        <v>19</v>
      </c>
      <c r="BA5"/>
      <c r="BD5"/>
      <c r="BI5">
        <v>20</v>
      </c>
      <c r="BJ5">
        <v>21</v>
      </c>
      <c r="BK5">
        <v>22</v>
      </c>
      <c r="BL5">
        <v>23</v>
      </c>
      <c r="BM5">
        <v>24</v>
      </c>
      <c r="BN5">
        <v>25</v>
      </c>
      <c r="BO5">
        <v>26</v>
      </c>
      <c r="BP5">
        <v>27</v>
      </c>
      <c r="BQ5">
        <v>28</v>
      </c>
      <c r="BR5">
        <v>29</v>
      </c>
      <c r="BZ5">
        <v>30</v>
      </c>
      <c r="CA5">
        <v>31</v>
      </c>
      <c r="CB5">
        <v>32</v>
      </c>
      <c r="CC5">
        <v>33</v>
      </c>
      <c r="CD5">
        <v>34</v>
      </c>
      <c r="CE5">
        <v>35</v>
      </c>
      <c r="CF5">
        <v>36</v>
      </c>
      <c r="CP5"/>
      <c r="CQ5">
        <v>37</v>
      </c>
      <c r="CR5">
        <v>38</v>
      </c>
      <c r="CS5">
        <v>39</v>
      </c>
      <c r="CT5">
        <v>40</v>
      </c>
    </row>
    <row r="6" spans="1:115" x14ac:dyDescent="0.35">
      <c r="G6" s="130" t="s">
        <v>9</v>
      </c>
      <c r="H6" s="130" t="s">
        <v>21</v>
      </c>
      <c r="I6"/>
      <c r="J6" s="124">
        <v>45839</v>
      </c>
      <c r="K6" s="125"/>
      <c r="L6" s="125"/>
      <c r="M6" s="125"/>
      <c r="N6" s="125"/>
      <c r="O6" s="125"/>
      <c r="P6" s="125"/>
      <c r="Q6" s="125"/>
      <c r="R6" s="125"/>
      <c r="S6" s="125"/>
      <c r="T6" s="125"/>
      <c r="U6" s="125"/>
      <c r="V6" s="125"/>
      <c r="W6" s="125"/>
      <c r="X6" s="125"/>
      <c r="Y6" s="126"/>
      <c r="Z6" s="29"/>
      <c r="AA6" s="124">
        <v>45870</v>
      </c>
      <c r="AB6" s="125"/>
      <c r="AC6" s="125"/>
      <c r="AD6" s="125"/>
      <c r="AE6" s="125"/>
      <c r="AF6" s="125"/>
      <c r="AG6" s="125"/>
      <c r="AH6" s="125"/>
      <c r="AI6" s="125"/>
      <c r="AJ6" s="125"/>
      <c r="AK6" s="125"/>
      <c r="AL6" s="125"/>
      <c r="AM6" s="125"/>
      <c r="AN6" s="125"/>
      <c r="AO6" s="125"/>
      <c r="AP6" s="126"/>
      <c r="AR6" s="124">
        <v>45901</v>
      </c>
      <c r="AS6" s="125"/>
      <c r="AT6" s="125"/>
      <c r="AU6" s="125"/>
      <c r="AV6" s="125"/>
      <c r="AW6" s="125"/>
      <c r="AX6" s="125"/>
      <c r="AY6" s="125"/>
      <c r="AZ6" s="125"/>
      <c r="BA6" s="125"/>
      <c r="BB6" s="125"/>
      <c r="BC6" s="125"/>
      <c r="BD6" s="125"/>
      <c r="BE6" s="125"/>
      <c r="BF6" s="125"/>
      <c r="BG6" s="126"/>
      <c r="BI6" s="124">
        <v>45931</v>
      </c>
      <c r="BJ6" s="125"/>
      <c r="BK6" s="125"/>
      <c r="BL6" s="125"/>
      <c r="BM6" s="125"/>
      <c r="BN6" s="125"/>
      <c r="BO6" s="125"/>
      <c r="BP6" s="125"/>
      <c r="BQ6" s="125"/>
      <c r="BR6" s="125"/>
      <c r="BS6" s="125"/>
      <c r="BT6" s="125"/>
      <c r="BU6" s="125"/>
      <c r="BV6" s="125"/>
      <c r="BW6" s="125"/>
      <c r="BX6" s="126"/>
      <c r="BZ6" s="124">
        <v>45962</v>
      </c>
      <c r="CA6" s="125"/>
      <c r="CB6" s="125"/>
      <c r="CC6" s="125"/>
      <c r="CD6" s="125"/>
      <c r="CE6" s="125"/>
      <c r="CF6" s="125"/>
      <c r="CG6" s="125"/>
      <c r="CH6" s="125"/>
      <c r="CI6" s="125"/>
      <c r="CJ6" s="125"/>
      <c r="CK6" s="125"/>
      <c r="CL6" s="125"/>
      <c r="CM6" s="125"/>
      <c r="CN6" s="125"/>
      <c r="CO6" s="126"/>
      <c r="CP6"/>
      <c r="CQ6" s="124">
        <v>45992</v>
      </c>
      <c r="CR6" s="125"/>
      <c r="CS6" s="125"/>
      <c r="CT6" s="125"/>
      <c r="CU6" s="125"/>
      <c r="CV6" s="125"/>
      <c r="CW6" s="125"/>
      <c r="CX6" s="125"/>
      <c r="CY6" s="125"/>
      <c r="CZ6" s="125"/>
      <c r="DA6" s="125"/>
      <c r="DB6" s="125"/>
      <c r="DC6" s="125"/>
      <c r="DD6" s="125"/>
      <c r="DE6" s="125"/>
      <c r="DF6" s="126"/>
      <c r="DH6" s="127" t="s">
        <v>24</v>
      </c>
      <c r="DI6" s="128"/>
      <c r="DJ6" s="128"/>
      <c r="DK6" s="129"/>
    </row>
    <row r="7" spans="1:115" x14ac:dyDescent="0.35">
      <c r="B7" s="15" t="s">
        <v>1</v>
      </c>
      <c r="C7" s="15" t="s">
        <v>10</v>
      </c>
      <c r="D7" s="15" t="s">
        <v>11</v>
      </c>
      <c r="E7" s="16" t="s">
        <v>4</v>
      </c>
      <c r="F7" s="30" t="s">
        <v>5</v>
      </c>
      <c r="G7" s="131"/>
      <c r="H7" s="131"/>
      <c r="I7"/>
      <c r="J7" s="44">
        <v>31</v>
      </c>
      <c r="K7" s="44"/>
      <c r="L7" s="44"/>
      <c r="M7" s="44"/>
      <c r="N7" s="44"/>
      <c r="O7" s="44"/>
      <c r="P7" s="44"/>
      <c r="Q7" s="44"/>
      <c r="R7" s="44"/>
      <c r="S7" s="44"/>
      <c r="T7" s="44"/>
      <c r="U7" s="44"/>
      <c r="V7" s="44"/>
      <c r="W7" s="44"/>
      <c r="X7" s="44"/>
      <c r="Y7" s="31" t="s">
        <v>12</v>
      </c>
      <c r="Z7" s="13"/>
      <c r="AA7" s="44">
        <v>1</v>
      </c>
      <c r="AB7" s="44">
        <v>7</v>
      </c>
      <c r="AC7" s="44">
        <v>8</v>
      </c>
      <c r="AD7" s="44">
        <v>14</v>
      </c>
      <c r="AE7" s="44">
        <v>15</v>
      </c>
      <c r="AF7" s="44">
        <v>21</v>
      </c>
      <c r="AG7" s="44">
        <v>22</v>
      </c>
      <c r="AH7" s="44">
        <v>28</v>
      </c>
      <c r="AI7" s="44">
        <v>29</v>
      </c>
      <c r="AJ7" s="44"/>
      <c r="AK7" s="44"/>
      <c r="AL7" s="44"/>
      <c r="AM7" s="44"/>
      <c r="AN7" s="44"/>
      <c r="AO7" s="44"/>
      <c r="AP7" s="31" t="s">
        <v>12</v>
      </c>
      <c r="AQ7" s="13"/>
      <c r="AR7" s="44">
        <v>4</v>
      </c>
      <c r="AS7" s="44">
        <v>5</v>
      </c>
      <c r="AT7" s="44">
        <v>11</v>
      </c>
      <c r="AU7" s="44">
        <v>12</v>
      </c>
      <c r="AV7" s="70">
        <v>13</v>
      </c>
      <c r="AW7" s="44">
        <v>18</v>
      </c>
      <c r="AX7" s="44">
        <v>19</v>
      </c>
      <c r="AY7" s="44">
        <v>25</v>
      </c>
      <c r="AZ7" s="44">
        <v>26</v>
      </c>
      <c r="BA7" s="44"/>
      <c r="BB7" s="44"/>
      <c r="BC7" s="44"/>
      <c r="BD7" s="44"/>
      <c r="BE7" s="44"/>
      <c r="BF7" s="44"/>
      <c r="BG7" s="31" t="s">
        <v>12</v>
      </c>
      <c r="BI7" s="44">
        <v>2</v>
      </c>
      <c r="BJ7" s="71">
        <v>3</v>
      </c>
      <c r="BK7" s="44">
        <v>9</v>
      </c>
      <c r="BL7" s="44">
        <v>10</v>
      </c>
      <c r="BM7" s="70">
        <v>11</v>
      </c>
      <c r="BN7" s="44">
        <v>16</v>
      </c>
      <c r="BO7" s="44">
        <v>17</v>
      </c>
      <c r="BP7" s="44">
        <v>23</v>
      </c>
      <c r="BQ7" s="44">
        <v>30</v>
      </c>
      <c r="BR7" s="44">
        <v>31</v>
      </c>
      <c r="BS7" s="44"/>
      <c r="BT7" s="44"/>
      <c r="BU7" s="44"/>
      <c r="BV7" s="44"/>
      <c r="BW7" s="44"/>
      <c r="BX7" s="31" t="s">
        <v>12</v>
      </c>
      <c r="BZ7" s="44">
        <v>6</v>
      </c>
      <c r="CA7" s="44">
        <v>7</v>
      </c>
      <c r="CB7" s="44">
        <v>13</v>
      </c>
      <c r="CC7" s="44">
        <v>14</v>
      </c>
      <c r="CD7" s="44">
        <v>21</v>
      </c>
      <c r="CE7" s="44">
        <v>27</v>
      </c>
      <c r="CF7" s="71">
        <v>28</v>
      </c>
      <c r="CG7" s="44"/>
      <c r="CH7" s="44"/>
      <c r="CI7" s="44"/>
      <c r="CJ7" s="44"/>
      <c r="CK7" s="44"/>
      <c r="CL7" s="44"/>
      <c r="CM7" s="44"/>
      <c r="CN7" s="44"/>
      <c r="CO7" s="31" t="s">
        <v>12</v>
      </c>
      <c r="CP7"/>
      <c r="CQ7" s="44">
        <v>4</v>
      </c>
      <c r="CR7" s="44">
        <v>5</v>
      </c>
      <c r="CS7" s="71">
        <v>11</v>
      </c>
      <c r="CT7" s="44">
        <v>12</v>
      </c>
      <c r="CU7" s="44"/>
      <c r="CV7" s="44"/>
      <c r="CW7" s="44"/>
      <c r="CX7" s="44"/>
      <c r="CY7" s="44"/>
      <c r="CZ7" s="44"/>
      <c r="DA7" s="44"/>
      <c r="DB7" s="44"/>
      <c r="DC7" s="44"/>
      <c r="DD7" s="44"/>
      <c r="DE7" s="44"/>
      <c r="DF7" s="31" t="s">
        <v>12</v>
      </c>
      <c r="DH7" s="32" t="s">
        <v>13</v>
      </c>
      <c r="DI7" s="32" t="s">
        <v>22</v>
      </c>
      <c r="DJ7" s="32" t="s">
        <v>14</v>
      </c>
      <c r="DK7" s="33" t="s">
        <v>23</v>
      </c>
    </row>
    <row r="8" spans="1:115" x14ac:dyDescent="0.35">
      <c r="A8" s="45"/>
      <c r="B8" s="46" t="s">
        <v>49</v>
      </c>
      <c r="C8" s="47">
        <v>10</v>
      </c>
      <c r="D8" s="48">
        <v>680</v>
      </c>
      <c r="E8" s="49">
        <v>100850068</v>
      </c>
      <c r="F8" s="50" t="s">
        <v>51</v>
      </c>
      <c r="G8" s="51">
        <v>4</v>
      </c>
      <c r="H8" s="51"/>
      <c r="I8" s="52"/>
      <c r="J8" s="53"/>
      <c r="K8" s="53"/>
      <c r="L8" s="53"/>
      <c r="M8" s="54"/>
      <c r="N8" s="54"/>
      <c r="O8" s="54"/>
      <c r="P8" s="54"/>
      <c r="Q8" s="53"/>
      <c r="R8" s="53"/>
      <c r="S8" s="53"/>
      <c r="T8" s="53"/>
      <c r="U8" s="53"/>
      <c r="V8" s="55"/>
      <c r="W8" s="55"/>
      <c r="X8" s="54"/>
      <c r="Y8" s="54">
        <f t="shared" ref="Y8:Y47" si="0">SUM(J8:X8)</f>
        <v>0</v>
      </c>
      <c r="Z8" s="54"/>
      <c r="AA8" s="53"/>
      <c r="AB8" s="54"/>
      <c r="AC8" s="54">
        <v>2</v>
      </c>
      <c r="AD8" s="54">
        <v>2</v>
      </c>
      <c r="AE8" s="54">
        <v>2</v>
      </c>
      <c r="AF8" s="53">
        <v>2</v>
      </c>
      <c r="AG8" s="54"/>
      <c r="AH8" s="53">
        <v>2</v>
      </c>
      <c r="AI8" s="53">
        <v>2</v>
      </c>
      <c r="AJ8" s="53"/>
      <c r="AK8" s="53"/>
      <c r="AL8" s="53"/>
      <c r="AM8" s="55"/>
      <c r="AN8" s="55"/>
      <c r="AO8" s="54"/>
      <c r="AP8" s="54">
        <f t="shared" ref="AP8:AP47" si="1">SUM(AA8:AO8)</f>
        <v>12</v>
      </c>
      <c r="AQ8" s="55"/>
      <c r="AR8" s="53"/>
      <c r="AS8" s="54"/>
      <c r="AT8" s="53"/>
      <c r="AU8" s="53"/>
      <c r="AV8" s="53"/>
      <c r="AW8" s="53">
        <v>2</v>
      </c>
      <c r="AX8" s="53">
        <v>2</v>
      </c>
      <c r="AY8" s="54"/>
      <c r="AZ8" s="54">
        <v>2</v>
      </c>
      <c r="BA8" s="53"/>
      <c r="BB8" s="53"/>
      <c r="BC8" s="53"/>
      <c r="BD8" s="53"/>
      <c r="BE8" s="55"/>
      <c r="BF8" s="55"/>
      <c r="BG8" s="54">
        <f t="shared" ref="BG8:BG47" si="2">SUM(AR8:BF8)</f>
        <v>6</v>
      </c>
      <c r="BH8" s="54"/>
      <c r="BI8" s="54"/>
      <c r="BJ8" s="53">
        <v>2</v>
      </c>
      <c r="BK8" s="53"/>
      <c r="BL8" s="54"/>
      <c r="BM8" s="53"/>
      <c r="BN8" s="53"/>
      <c r="BO8" s="53"/>
      <c r="BP8" s="53"/>
      <c r="BQ8" s="54"/>
      <c r="BR8" s="53"/>
      <c r="BS8" s="53"/>
      <c r="BT8" s="53"/>
      <c r="BU8" s="53"/>
      <c r="BV8" s="55"/>
      <c r="BW8" s="55"/>
      <c r="BX8" s="54">
        <f t="shared" ref="BX8:BX47" si="3">SUM(BI8:BW8)</f>
        <v>2</v>
      </c>
      <c r="BY8" s="54"/>
      <c r="BZ8" s="53"/>
      <c r="CA8" s="53"/>
      <c r="CB8" s="53"/>
      <c r="CC8" s="53"/>
      <c r="CD8" s="53"/>
      <c r="CE8" s="53"/>
      <c r="CF8" s="53"/>
      <c r="CG8" s="53"/>
      <c r="CH8" s="53"/>
      <c r="CI8" s="54"/>
      <c r="CJ8" s="53"/>
      <c r="CK8" s="53"/>
      <c r="CL8" s="53"/>
      <c r="CM8" s="55"/>
      <c r="CN8" s="55"/>
      <c r="CO8" s="54">
        <f t="shared" ref="CO8:CO47" si="4">SUM(BZ8:CN8)</f>
        <v>0</v>
      </c>
      <c r="CP8" s="55"/>
      <c r="CQ8" s="53"/>
      <c r="CR8" s="53"/>
      <c r="CS8" s="54"/>
      <c r="CT8" s="54"/>
      <c r="CU8" s="54"/>
      <c r="CV8" s="53"/>
      <c r="CW8" s="53"/>
      <c r="CX8" s="53"/>
      <c r="CY8" s="53"/>
      <c r="CZ8" s="53"/>
      <c r="DA8" s="53"/>
      <c r="DB8" s="53"/>
      <c r="DC8" s="55"/>
      <c r="DD8" s="55"/>
      <c r="DE8" s="54"/>
      <c r="DF8" s="55">
        <f t="shared" ref="DF8:DF47" si="5">SUM(CQ8:DE8)</f>
        <v>0</v>
      </c>
      <c r="DG8" s="54"/>
      <c r="DH8" s="54">
        <f t="shared" ref="DH8:DH47" si="6">SUM(Y8,AP8,BG8,BX8,CO8,DF8)</f>
        <v>20</v>
      </c>
      <c r="DI8" s="54">
        <f t="shared" ref="DI8:DI47" si="7">H8</f>
        <v>0</v>
      </c>
      <c r="DJ8" s="53">
        <f t="shared" ref="DJ8:DJ47" si="8">G8</f>
        <v>4</v>
      </c>
      <c r="DK8" s="53">
        <f t="shared" ref="DK8:DK47" si="9">DH8+DI8-DJ8</f>
        <v>16</v>
      </c>
    </row>
    <row r="9" spans="1:115" x14ac:dyDescent="0.35">
      <c r="A9" s="56"/>
      <c r="B9" s="57" t="s">
        <v>32</v>
      </c>
      <c r="C9" s="58">
        <v>6</v>
      </c>
      <c r="D9" s="57">
        <v>2017</v>
      </c>
      <c r="E9" s="59">
        <v>100841486</v>
      </c>
      <c r="F9" s="60" t="s">
        <v>37</v>
      </c>
      <c r="G9" s="61">
        <v>2</v>
      </c>
      <c r="H9" s="61"/>
      <c r="I9" s="62"/>
      <c r="J9" s="62"/>
      <c r="K9" s="62"/>
      <c r="L9" s="62"/>
      <c r="M9" s="63"/>
      <c r="N9" s="63"/>
      <c r="O9" s="63"/>
      <c r="P9" s="63"/>
      <c r="Q9" s="62"/>
      <c r="R9" s="62"/>
      <c r="S9" s="62"/>
      <c r="T9" s="62"/>
      <c r="U9" s="62"/>
      <c r="V9" s="62"/>
      <c r="W9" s="62"/>
      <c r="X9" s="63"/>
      <c r="Y9" s="63">
        <f t="shared" si="0"/>
        <v>0</v>
      </c>
      <c r="Z9" s="63"/>
      <c r="AA9" s="62"/>
      <c r="AB9" s="63"/>
      <c r="AC9" s="63"/>
      <c r="AD9" s="63"/>
      <c r="AE9" s="63">
        <v>2</v>
      </c>
      <c r="AF9" s="62"/>
      <c r="AG9" s="63"/>
      <c r="AH9" s="62"/>
      <c r="AI9" s="62"/>
      <c r="AJ9" s="62"/>
      <c r="AK9" s="62"/>
      <c r="AL9" s="62"/>
      <c r="AM9" s="62"/>
      <c r="AN9" s="62"/>
      <c r="AO9" s="63"/>
      <c r="AP9" s="63">
        <f t="shared" si="1"/>
        <v>2</v>
      </c>
      <c r="AQ9" s="62"/>
      <c r="AR9" s="62"/>
      <c r="AS9" s="63"/>
      <c r="AT9" s="62"/>
      <c r="AU9" s="62"/>
      <c r="AV9" s="62"/>
      <c r="AW9" s="62"/>
      <c r="AX9" s="62"/>
      <c r="AY9" s="63">
        <v>2</v>
      </c>
      <c r="AZ9" s="63">
        <v>2</v>
      </c>
      <c r="BA9" s="62"/>
      <c r="BB9" s="62"/>
      <c r="BC9" s="62"/>
      <c r="BD9" s="62"/>
      <c r="BE9" s="62"/>
      <c r="BF9" s="62"/>
      <c r="BG9" s="63">
        <f t="shared" si="2"/>
        <v>4</v>
      </c>
      <c r="BH9" s="63"/>
      <c r="BI9" s="63"/>
      <c r="BJ9" s="62"/>
      <c r="BK9" s="62"/>
      <c r="BL9" s="63"/>
      <c r="BM9" s="62"/>
      <c r="BN9" s="62"/>
      <c r="BO9" s="62"/>
      <c r="BP9" s="62"/>
      <c r="BQ9" s="63"/>
      <c r="BR9" s="62"/>
      <c r="BS9" s="62"/>
      <c r="BT9" s="62"/>
      <c r="BU9" s="62"/>
      <c r="BV9" s="62"/>
      <c r="BW9" s="62"/>
      <c r="BX9" s="63">
        <f t="shared" si="3"/>
        <v>0</v>
      </c>
      <c r="BY9" s="63"/>
      <c r="BZ9" s="62"/>
      <c r="CA9" s="62"/>
      <c r="CB9" s="62"/>
      <c r="CC9" s="62"/>
      <c r="CD9" s="62"/>
      <c r="CE9" s="62"/>
      <c r="CF9" s="62"/>
      <c r="CG9" s="62"/>
      <c r="CH9" s="62"/>
      <c r="CI9" s="63"/>
      <c r="CJ9" s="62"/>
      <c r="CK9" s="62"/>
      <c r="CL9" s="62"/>
      <c r="CM9" s="62"/>
      <c r="CN9" s="62"/>
      <c r="CO9" s="63">
        <f t="shared" si="4"/>
        <v>0</v>
      </c>
      <c r="CP9" s="62"/>
      <c r="CQ9" s="62"/>
      <c r="CR9" s="62"/>
      <c r="CS9" s="63"/>
      <c r="CT9" s="63"/>
      <c r="CU9" s="63"/>
      <c r="CV9" s="62"/>
      <c r="CW9" s="62"/>
      <c r="CX9" s="62"/>
      <c r="CY9" s="62"/>
      <c r="CZ9" s="62"/>
      <c r="DA9" s="62"/>
      <c r="DB9" s="62"/>
      <c r="DC9" s="62"/>
      <c r="DD9" s="62"/>
      <c r="DE9" s="63"/>
      <c r="DF9" s="62">
        <f t="shared" si="5"/>
        <v>0</v>
      </c>
      <c r="DG9" s="63"/>
      <c r="DH9" s="63">
        <f t="shared" si="6"/>
        <v>6</v>
      </c>
      <c r="DI9" s="63">
        <f t="shared" si="7"/>
        <v>0</v>
      </c>
      <c r="DJ9" s="62">
        <f t="shared" si="8"/>
        <v>2</v>
      </c>
      <c r="DK9" s="62">
        <f t="shared" si="9"/>
        <v>4</v>
      </c>
    </row>
    <row r="10" spans="1:115" x14ac:dyDescent="0.35">
      <c r="A10" s="45"/>
      <c r="B10" s="46" t="s">
        <v>57</v>
      </c>
      <c r="C10" s="47">
        <v>6</v>
      </c>
      <c r="D10" s="48">
        <v>9834</v>
      </c>
      <c r="E10" s="49">
        <v>100840892</v>
      </c>
      <c r="F10" s="50" t="s">
        <v>59</v>
      </c>
      <c r="G10" s="51">
        <v>2</v>
      </c>
      <c r="H10" s="51"/>
      <c r="I10" s="52"/>
      <c r="J10" s="53"/>
      <c r="K10" s="53"/>
      <c r="L10" s="53"/>
      <c r="M10" s="54"/>
      <c r="N10" s="54"/>
      <c r="O10" s="54"/>
      <c r="P10" s="54"/>
      <c r="Q10" s="53"/>
      <c r="R10" s="53"/>
      <c r="S10" s="53"/>
      <c r="T10" s="53"/>
      <c r="U10" s="53"/>
      <c r="V10" s="55"/>
      <c r="W10" s="55"/>
      <c r="X10" s="54"/>
      <c r="Y10" s="54">
        <f t="shared" si="0"/>
        <v>0</v>
      </c>
      <c r="Z10" s="54"/>
      <c r="AA10" s="53"/>
      <c r="AB10" s="54"/>
      <c r="AC10" s="54"/>
      <c r="AD10" s="54"/>
      <c r="AE10" s="54">
        <v>2</v>
      </c>
      <c r="AF10" s="53"/>
      <c r="AG10" s="54"/>
      <c r="AH10" s="53">
        <v>2</v>
      </c>
      <c r="AI10" s="53">
        <v>2</v>
      </c>
      <c r="AJ10" s="53"/>
      <c r="AK10" s="53"/>
      <c r="AL10" s="53"/>
      <c r="AM10" s="55"/>
      <c r="AN10" s="55"/>
      <c r="AO10" s="54"/>
      <c r="AP10" s="54">
        <f t="shared" si="1"/>
        <v>6</v>
      </c>
      <c r="AQ10" s="55"/>
      <c r="AR10" s="53"/>
      <c r="AS10" s="54"/>
      <c r="AT10" s="53"/>
      <c r="AU10" s="53">
        <v>2</v>
      </c>
      <c r="AV10" s="53"/>
      <c r="AW10" s="53">
        <v>2</v>
      </c>
      <c r="AX10" s="53"/>
      <c r="AY10" s="54"/>
      <c r="AZ10" s="54">
        <v>2</v>
      </c>
      <c r="BA10" s="53"/>
      <c r="BB10" s="53"/>
      <c r="BC10" s="53"/>
      <c r="BD10" s="53"/>
      <c r="BE10" s="55"/>
      <c r="BF10" s="55"/>
      <c r="BG10" s="54">
        <f t="shared" si="2"/>
        <v>6</v>
      </c>
      <c r="BH10" s="54"/>
      <c r="BI10" s="54"/>
      <c r="BJ10" s="53"/>
      <c r="BK10" s="53"/>
      <c r="BL10" s="54"/>
      <c r="BM10" s="53"/>
      <c r="BN10" s="53"/>
      <c r="BO10" s="53"/>
      <c r="BP10" s="53"/>
      <c r="BQ10" s="54"/>
      <c r="BR10" s="53"/>
      <c r="BS10" s="53"/>
      <c r="BT10" s="53"/>
      <c r="BU10" s="53"/>
      <c r="BV10" s="55"/>
      <c r="BW10" s="55"/>
      <c r="BX10" s="54">
        <f t="shared" si="3"/>
        <v>0</v>
      </c>
      <c r="BY10" s="54"/>
      <c r="BZ10" s="53"/>
      <c r="CA10" s="53"/>
      <c r="CB10" s="53"/>
      <c r="CC10" s="53"/>
      <c r="CD10" s="53"/>
      <c r="CE10" s="53"/>
      <c r="CF10" s="53"/>
      <c r="CG10" s="53"/>
      <c r="CH10" s="53"/>
      <c r="CI10" s="54"/>
      <c r="CJ10" s="53"/>
      <c r="CK10" s="53"/>
      <c r="CL10" s="53"/>
      <c r="CM10" s="55"/>
      <c r="CN10" s="55"/>
      <c r="CO10" s="54">
        <f t="shared" si="4"/>
        <v>0</v>
      </c>
      <c r="CP10" s="55"/>
      <c r="CQ10" s="53"/>
      <c r="CR10" s="53"/>
      <c r="CS10" s="54"/>
      <c r="CT10" s="54"/>
      <c r="CU10" s="54"/>
      <c r="CV10" s="53"/>
      <c r="CW10" s="53"/>
      <c r="CX10" s="53"/>
      <c r="CY10" s="53"/>
      <c r="CZ10" s="53"/>
      <c r="DA10" s="53"/>
      <c r="DB10" s="53"/>
      <c r="DC10" s="55"/>
      <c r="DD10" s="55"/>
      <c r="DE10" s="54"/>
      <c r="DF10" s="55">
        <f t="shared" si="5"/>
        <v>0</v>
      </c>
      <c r="DG10" s="54"/>
      <c r="DH10" s="54">
        <f t="shared" si="6"/>
        <v>12</v>
      </c>
      <c r="DI10" s="54">
        <f t="shared" si="7"/>
        <v>0</v>
      </c>
      <c r="DJ10" s="53">
        <f t="shared" si="8"/>
        <v>2</v>
      </c>
      <c r="DK10" s="53">
        <f t="shared" si="9"/>
        <v>10</v>
      </c>
    </row>
    <row r="11" spans="1:115" x14ac:dyDescent="0.35">
      <c r="A11" s="56"/>
      <c r="B11" s="57" t="s">
        <v>32</v>
      </c>
      <c r="C11" s="58">
        <v>10</v>
      </c>
      <c r="D11" s="57">
        <v>1688</v>
      </c>
      <c r="E11" s="59">
        <v>100850015</v>
      </c>
      <c r="F11" s="60" t="s">
        <v>47</v>
      </c>
      <c r="G11" s="61">
        <v>4</v>
      </c>
      <c r="H11" s="61"/>
      <c r="I11" s="62"/>
      <c r="J11" s="62"/>
      <c r="K11" s="62"/>
      <c r="L11" s="62"/>
      <c r="M11" s="63"/>
      <c r="N11" s="63"/>
      <c r="O11" s="63"/>
      <c r="P11" s="63"/>
      <c r="Q11" s="62"/>
      <c r="R11" s="62"/>
      <c r="S11" s="62"/>
      <c r="T11" s="62"/>
      <c r="U11" s="62"/>
      <c r="V11" s="62"/>
      <c r="W11" s="62"/>
      <c r="X11" s="63"/>
      <c r="Y11" s="63">
        <f t="shared" si="0"/>
        <v>0</v>
      </c>
      <c r="Z11" s="63"/>
      <c r="AA11" s="62"/>
      <c r="AB11" s="63"/>
      <c r="AC11" s="63">
        <v>2</v>
      </c>
      <c r="AD11" s="63"/>
      <c r="AE11" s="63">
        <v>2</v>
      </c>
      <c r="AF11" s="62"/>
      <c r="AG11" s="63"/>
      <c r="AH11" s="62">
        <v>2</v>
      </c>
      <c r="AI11" s="62"/>
      <c r="AJ11" s="62"/>
      <c r="AK11" s="62"/>
      <c r="AL11" s="62"/>
      <c r="AM11" s="62"/>
      <c r="AN11" s="62"/>
      <c r="AO11" s="63"/>
      <c r="AP11" s="63">
        <f t="shared" si="1"/>
        <v>6</v>
      </c>
      <c r="AQ11" s="62"/>
      <c r="AR11" s="62"/>
      <c r="AS11" s="63"/>
      <c r="AT11" s="62"/>
      <c r="AU11" s="62">
        <v>2</v>
      </c>
      <c r="AV11" s="62"/>
      <c r="AW11" s="62"/>
      <c r="AX11" s="62">
        <v>2</v>
      </c>
      <c r="AY11" s="63"/>
      <c r="AZ11" s="63">
        <v>2</v>
      </c>
      <c r="BA11" s="62"/>
      <c r="BB11" s="62"/>
      <c r="BC11" s="62"/>
      <c r="BD11" s="62"/>
      <c r="BE11" s="62"/>
      <c r="BF11" s="62"/>
      <c r="BG11" s="63">
        <f t="shared" si="2"/>
        <v>6</v>
      </c>
      <c r="BH11" s="63"/>
      <c r="BI11" s="63">
        <v>2</v>
      </c>
      <c r="BJ11" s="62"/>
      <c r="BK11" s="62"/>
      <c r="BL11" s="63"/>
      <c r="BM11" s="62"/>
      <c r="BN11" s="62"/>
      <c r="BO11" s="62"/>
      <c r="BP11" s="62"/>
      <c r="BQ11" s="63"/>
      <c r="BR11" s="62"/>
      <c r="BS11" s="62"/>
      <c r="BT11" s="62"/>
      <c r="BU11" s="62"/>
      <c r="BV11" s="62"/>
      <c r="BW11" s="62"/>
      <c r="BX11" s="63">
        <f t="shared" si="3"/>
        <v>2</v>
      </c>
      <c r="BY11" s="63"/>
      <c r="BZ11" s="62"/>
      <c r="CA11" s="62"/>
      <c r="CB11" s="62"/>
      <c r="CC11" s="62"/>
      <c r="CD11" s="62"/>
      <c r="CE11" s="62"/>
      <c r="CF11" s="62"/>
      <c r="CG11" s="62"/>
      <c r="CH11" s="62"/>
      <c r="CI11" s="63"/>
      <c r="CJ11" s="62"/>
      <c r="CK11" s="62"/>
      <c r="CL11" s="62"/>
      <c r="CM11" s="62"/>
      <c r="CN11" s="62"/>
      <c r="CO11" s="63">
        <f t="shared" si="4"/>
        <v>0</v>
      </c>
      <c r="CP11" s="62"/>
      <c r="CQ11" s="62"/>
      <c r="CR11" s="62"/>
      <c r="CS11" s="63"/>
      <c r="CT11" s="63"/>
      <c r="CU11" s="63"/>
      <c r="CV11" s="62"/>
      <c r="CW11" s="62"/>
      <c r="CX11" s="62"/>
      <c r="CY11" s="62"/>
      <c r="CZ11" s="62"/>
      <c r="DA11" s="62"/>
      <c r="DB11" s="62"/>
      <c r="DC11" s="62"/>
      <c r="DD11" s="62"/>
      <c r="DE11" s="63"/>
      <c r="DF11" s="62">
        <f t="shared" si="5"/>
        <v>0</v>
      </c>
      <c r="DG11" s="63"/>
      <c r="DH11" s="63">
        <f t="shared" si="6"/>
        <v>14</v>
      </c>
      <c r="DI11" s="63">
        <f t="shared" si="7"/>
        <v>0</v>
      </c>
      <c r="DJ11" s="62">
        <f t="shared" si="8"/>
        <v>4</v>
      </c>
      <c r="DK11" s="62">
        <f t="shared" si="9"/>
        <v>10</v>
      </c>
    </row>
    <row r="12" spans="1:115" x14ac:dyDescent="0.35">
      <c r="A12" s="45"/>
      <c r="B12" s="46" t="s">
        <v>34</v>
      </c>
      <c r="C12" s="47">
        <v>5</v>
      </c>
      <c r="D12" s="48">
        <v>2095</v>
      </c>
      <c r="E12" s="49">
        <v>100839680</v>
      </c>
      <c r="F12" s="50" t="s">
        <v>35</v>
      </c>
      <c r="G12" s="51">
        <v>2</v>
      </c>
      <c r="H12" s="51"/>
      <c r="I12" s="52"/>
      <c r="J12" s="53"/>
      <c r="K12" s="53"/>
      <c r="L12" s="53"/>
      <c r="M12" s="54"/>
      <c r="N12" s="54"/>
      <c r="O12" s="54"/>
      <c r="P12" s="54"/>
      <c r="Q12" s="53"/>
      <c r="R12" s="53"/>
      <c r="S12" s="53"/>
      <c r="T12" s="53"/>
      <c r="U12" s="53"/>
      <c r="V12" s="55"/>
      <c r="W12" s="55"/>
      <c r="X12" s="54"/>
      <c r="Y12" s="54">
        <f t="shared" si="0"/>
        <v>0</v>
      </c>
      <c r="Z12" s="54"/>
      <c r="AA12" s="53"/>
      <c r="AB12" s="54"/>
      <c r="AC12" s="54">
        <v>2</v>
      </c>
      <c r="AD12" s="54"/>
      <c r="AE12" s="54">
        <v>2</v>
      </c>
      <c r="AF12" s="53"/>
      <c r="AG12" s="54">
        <v>2</v>
      </c>
      <c r="AH12" s="53">
        <v>2</v>
      </c>
      <c r="AI12" s="53">
        <v>2</v>
      </c>
      <c r="AJ12" s="53"/>
      <c r="AK12" s="53"/>
      <c r="AL12" s="53"/>
      <c r="AM12" s="55"/>
      <c r="AN12" s="55"/>
      <c r="AO12" s="54"/>
      <c r="AP12" s="54">
        <f t="shared" si="1"/>
        <v>10</v>
      </c>
      <c r="AQ12" s="55"/>
      <c r="AR12" s="53"/>
      <c r="AS12" s="54"/>
      <c r="AT12" s="53"/>
      <c r="AU12" s="53"/>
      <c r="AV12" s="53"/>
      <c r="AW12" s="53"/>
      <c r="AX12" s="53"/>
      <c r="AY12" s="54"/>
      <c r="AZ12" s="54">
        <v>2</v>
      </c>
      <c r="BA12" s="53"/>
      <c r="BB12" s="53"/>
      <c r="BC12" s="53"/>
      <c r="BD12" s="53"/>
      <c r="BE12" s="55"/>
      <c r="BF12" s="55"/>
      <c r="BG12" s="54">
        <f t="shared" si="2"/>
        <v>2</v>
      </c>
      <c r="BH12" s="54"/>
      <c r="BI12" s="54"/>
      <c r="BJ12" s="53"/>
      <c r="BK12" s="53"/>
      <c r="BL12" s="54"/>
      <c r="BM12" s="53"/>
      <c r="BN12" s="53"/>
      <c r="BO12" s="53"/>
      <c r="BP12" s="53"/>
      <c r="BQ12" s="54"/>
      <c r="BR12" s="53"/>
      <c r="BS12" s="53"/>
      <c r="BT12" s="53"/>
      <c r="BU12" s="53"/>
      <c r="BV12" s="55"/>
      <c r="BW12" s="55"/>
      <c r="BX12" s="54">
        <f t="shared" si="3"/>
        <v>0</v>
      </c>
      <c r="BY12" s="54"/>
      <c r="BZ12" s="53"/>
      <c r="CA12" s="53"/>
      <c r="CB12" s="53"/>
      <c r="CC12" s="53"/>
      <c r="CD12" s="53"/>
      <c r="CE12" s="53"/>
      <c r="CF12" s="53"/>
      <c r="CG12" s="53"/>
      <c r="CH12" s="53"/>
      <c r="CI12" s="54"/>
      <c r="CJ12" s="53"/>
      <c r="CK12" s="53"/>
      <c r="CL12" s="53"/>
      <c r="CM12" s="55"/>
      <c r="CN12" s="55"/>
      <c r="CO12" s="54">
        <f t="shared" si="4"/>
        <v>0</v>
      </c>
      <c r="CP12" s="55"/>
      <c r="CQ12" s="53"/>
      <c r="CR12" s="53"/>
      <c r="CS12" s="54"/>
      <c r="CT12" s="54"/>
      <c r="CU12" s="54"/>
      <c r="CV12" s="53"/>
      <c r="CW12" s="53"/>
      <c r="CX12" s="53"/>
      <c r="CY12" s="53"/>
      <c r="CZ12" s="53"/>
      <c r="DA12" s="53"/>
      <c r="DB12" s="53"/>
      <c r="DC12" s="55"/>
      <c r="DD12" s="55"/>
      <c r="DE12" s="54"/>
      <c r="DF12" s="55">
        <f t="shared" si="5"/>
        <v>0</v>
      </c>
      <c r="DG12" s="54"/>
      <c r="DH12" s="54">
        <f t="shared" si="6"/>
        <v>12</v>
      </c>
      <c r="DI12" s="54">
        <f t="shared" si="7"/>
        <v>0</v>
      </c>
      <c r="DJ12" s="53">
        <f t="shared" si="8"/>
        <v>2</v>
      </c>
      <c r="DK12" s="53">
        <f t="shared" si="9"/>
        <v>10</v>
      </c>
    </row>
    <row r="13" spans="1:115" x14ac:dyDescent="0.35">
      <c r="A13" s="56"/>
      <c r="B13" s="57" t="s">
        <v>32</v>
      </c>
      <c r="C13" s="58">
        <v>5</v>
      </c>
      <c r="D13" s="57">
        <v>2092</v>
      </c>
      <c r="E13" s="59">
        <v>100839734</v>
      </c>
      <c r="F13" s="60" t="s">
        <v>33</v>
      </c>
      <c r="G13" s="61">
        <v>2</v>
      </c>
      <c r="H13" s="61"/>
      <c r="I13" s="62"/>
      <c r="J13" s="62"/>
      <c r="K13" s="62"/>
      <c r="L13" s="62"/>
      <c r="M13" s="63"/>
      <c r="N13" s="63"/>
      <c r="O13" s="63"/>
      <c r="P13" s="63"/>
      <c r="Q13" s="62"/>
      <c r="R13" s="62"/>
      <c r="S13" s="62"/>
      <c r="T13" s="62"/>
      <c r="U13" s="62"/>
      <c r="V13" s="62"/>
      <c r="W13" s="62"/>
      <c r="X13" s="63"/>
      <c r="Y13" s="63">
        <f t="shared" si="0"/>
        <v>0</v>
      </c>
      <c r="Z13" s="63"/>
      <c r="AA13" s="62"/>
      <c r="AB13" s="63"/>
      <c r="AC13" s="63"/>
      <c r="AD13" s="63"/>
      <c r="AE13" s="63">
        <v>2</v>
      </c>
      <c r="AF13" s="62"/>
      <c r="AG13" s="63"/>
      <c r="AH13" s="62"/>
      <c r="AI13" s="62"/>
      <c r="AJ13" s="62"/>
      <c r="AK13" s="62"/>
      <c r="AL13" s="62"/>
      <c r="AM13" s="62"/>
      <c r="AN13" s="62"/>
      <c r="AO13" s="63"/>
      <c r="AP13" s="63">
        <f t="shared" si="1"/>
        <v>2</v>
      </c>
      <c r="AQ13" s="62"/>
      <c r="AR13" s="62"/>
      <c r="AS13" s="63">
        <v>2</v>
      </c>
      <c r="AT13" s="62"/>
      <c r="AU13" s="62"/>
      <c r="AV13" s="62"/>
      <c r="AW13" s="62"/>
      <c r="AX13" s="62"/>
      <c r="AY13" s="63">
        <v>2</v>
      </c>
      <c r="AZ13" s="63">
        <v>2</v>
      </c>
      <c r="BA13" s="62"/>
      <c r="BB13" s="62"/>
      <c r="BC13" s="62"/>
      <c r="BD13" s="62"/>
      <c r="BE13" s="62"/>
      <c r="BF13" s="62"/>
      <c r="BG13" s="63">
        <f t="shared" si="2"/>
        <v>6</v>
      </c>
      <c r="BH13" s="63"/>
      <c r="BI13" s="63"/>
      <c r="BJ13" s="62"/>
      <c r="BK13" s="62"/>
      <c r="BL13" s="63"/>
      <c r="BM13" s="62"/>
      <c r="BN13" s="62"/>
      <c r="BO13" s="62"/>
      <c r="BP13" s="62"/>
      <c r="BQ13" s="63"/>
      <c r="BR13" s="62"/>
      <c r="BS13" s="62"/>
      <c r="BT13" s="62"/>
      <c r="BU13" s="62"/>
      <c r="BV13" s="62"/>
      <c r="BW13" s="62"/>
      <c r="BX13" s="63">
        <f t="shared" si="3"/>
        <v>0</v>
      </c>
      <c r="BY13" s="63"/>
      <c r="BZ13" s="62"/>
      <c r="CA13" s="62"/>
      <c r="CB13" s="62"/>
      <c r="CC13" s="62"/>
      <c r="CD13" s="62"/>
      <c r="CE13" s="62"/>
      <c r="CF13" s="62"/>
      <c r="CG13" s="62"/>
      <c r="CH13" s="62"/>
      <c r="CI13" s="63"/>
      <c r="CJ13" s="62"/>
      <c r="CK13" s="62"/>
      <c r="CL13" s="62"/>
      <c r="CM13" s="62"/>
      <c r="CN13" s="62"/>
      <c r="CO13" s="63">
        <f t="shared" si="4"/>
        <v>0</v>
      </c>
      <c r="CP13" s="62"/>
      <c r="CQ13" s="62"/>
      <c r="CR13" s="62"/>
      <c r="CS13" s="63"/>
      <c r="CT13" s="63"/>
      <c r="CU13" s="63"/>
      <c r="CV13" s="62"/>
      <c r="CW13" s="62"/>
      <c r="CX13" s="62"/>
      <c r="CY13" s="62"/>
      <c r="CZ13" s="62"/>
      <c r="DA13" s="62"/>
      <c r="DB13" s="62"/>
      <c r="DC13" s="62"/>
      <c r="DD13" s="62"/>
      <c r="DE13" s="63"/>
      <c r="DF13" s="62">
        <f t="shared" si="5"/>
        <v>0</v>
      </c>
      <c r="DG13" s="63"/>
      <c r="DH13" s="63">
        <f t="shared" si="6"/>
        <v>8</v>
      </c>
      <c r="DI13" s="63">
        <f t="shared" si="7"/>
        <v>0</v>
      </c>
      <c r="DJ13" s="62">
        <f t="shared" si="8"/>
        <v>2</v>
      </c>
      <c r="DK13" s="62">
        <f t="shared" si="9"/>
        <v>6</v>
      </c>
    </row>
    <row r="14" spans="1:115" x14ac:dyDescent="0.35">
      <c r="A14" s="45"/>
      <c r="B14" s="46" t="s">
        <v>49</v>
      </c>
      <c r="C14" s="47">
        <v>6</v>
      </c>
      <c r="D14" s="48">
        <v>755</v>
      </c>
      <c r="E14" s="49">
        <v>100847186</v>
      </c>
      <c r="F14" s="50" t="s">
        <v>50</v>
      </c>
      <c r="G14" s="51">
        <v>4</v>
      </c>
      <c r="H14" s="51"/>
      <c r="I14" s="52"/>
      <c r="J14" s="53"/>
      <c r="K14" s="53"/>
      <c r="L14" s="53"/>
      <c r="M14" s="54"/>
      <c r="N14" s="54"/>
      <c r="O14" s="54"/>
      <c r="P14" s="54"/>
      <c r="Q14" s="53"/>
      <c r="R14" s="53"/>
      <c r="S14" s="53"/>
      <c r="T14" s="53"/>
      <c r="U14" s="53"/>
      <c r="V14" s="55"/>
      <c r="W14" s="55"/>
      <c r="X14" s="54"/>
      <c r="Y14" s="54">
        <f t="shared" si="0"/>
        <v>0</v>
      </c>
      <c r="Z14" s="54"/>
      <c r="AA14" s="53"/>
      <c r="AB14" s="54"/>
      <c r="AC14" s="54">
        <v>2</v>
      </c>
      <c r="AD14" s="54"/>
      <c r="AE14" s="54">
        <v>2</v>
      </c>
      <c r="AF14" s="53"/>
      <c r="AG14" s="54"/>
      <c r="AH14" s="53"/>
      <c r="AI14" s="53"/>
      <c r="AJ14" s="53"/>
      <c r="AK14" s="53"/>
      <c r="AL14" s="53"/>
      <c r="AM14" s="55"/>
      <c r="AN14" s="55"/>
      <c r="AO14" s="54"/>
      <c r="AP14" s="54">
        <f t="shared" si="1"/>
        <v>4</v>
      </c>
      <c r="AQ14" s="55"/>
      <c r="AR14" s="53"/>
      <c r="AS14" s="54"/>
      <c r="AT14" s="53"/>
      <c r="AU14" s="53"/>
      <c r="AV14" s="53"/>
      <c r="AW14" s="53">
        <v>2</v>
      </c>
      <c r="AX14" s="53">
        <v>2</v>
      </c>
      <c r="AY14" s="54"/>
      <c r="AZ14" s="54">
        <v>2</v>
      </c>
      <c r="BA14" s="53"/>
      <c r="BB14" s="53"/>
      <c r="BC14" s="53"/>
      <c r="BD14" s="53"/>
      <c r="BE14" s="55"/>
      <c r="BF14" s="55"/>
      <c r="BG14" s="54">
        <f t="shared" si="2"/>
        <v>6</v>
      </c>
      <c r="BH14" s="54"/>
      <c r="BI14" s="54"/>
      <c r="BJ14" s="53"/>
      <c r="BK14" s="53"/>
      <c r="BL14" s="54"/>
      <c r="BM14" s="53"/>
      <c r="BN14" s="53"/>
      <c r="BO14" s="53"/>
      <c r="BP14" s="53"/>
      <c r="BQ14" s="54"/>
      <c r="BR14" s="53"/>
      <c r="BS14" s="53"/>
      <c r="BT14" s="53"/>
      <c r="BU14" s="53"/>
      <c r="BV14" s="55"/>
      <c r="BW14" s="55"/>
      <c r="BX14" s="54">
        <f t="shared" si="3"/>
        <v>0</v>
      </c>
      <c r="BY14" s="54"/>
      <c r="BZ14" s="53"/>
      <c r="CA14" s="53"/>
      <c r="CB14" s="53"/>
      <c r="CC14" s="53"/>
      <c r="CD14" s="53"/>
      <c r="CE14" s="53"/>
      <c r="CF14" s="53"/>
      <c r="CG14" s="53"/>
      <c r="CH14" s="53"/>
      <c r="CI14" s="54"/>
      <c r="CJ14" s="53"/>
      <c r="CK14" s="53"/>
      <c r="CL14" s="53"/>
      <c r="CM14" s="55"/>
      <c r="CN14" s="55"/>
      <c r="CO14" s="54">
        <f t="shared" si="4"/>
        <v>0</v>
      </c>
      <c r="CP14" s="55"/>
      <c r="CQ14" s="53"/>
      <c r="CR14" s="53"/>
      <c r="CS14" s="54"/>
      <c r="CT14" s="54"/>
      <c r="CU14" s="54"/>
      <c r="CV14" s="53"/>
      <c r="CW14" s="53"/>
      <c r="CX14" s="53"/>
      <c r="CY14" s="53"/>
      <c r="CZ14" s="53"/>
      <c r="DA14" s="53"/>
      <c r="DB14" s="53"/>
      <c r="DC14" s="55"/>
      <c r="DD14" s="55"/>
      <c r="DE14" s="54"/>
      <c r="DF14" s="55">
        <f t="shared" si="5"/>
        <v>0</v>
      </c>
      <c r="DG14" s="54"/>
      <c r="DH14" s="54">
        <f t="shared" si="6"/>
        <v>10</v>
      </c>
      <c r="DI14" s="54">
        <f t="shared" si="7"/>
        <v>0</v>
      </c>
      <c r="DJ14" s="53">
        <f t="shared" si="8"/>
        <v>4</v>
      </c>
      <c r="DK14" s="53">
        <f t="shared" si="9"/>
        <v>6</v>
      </c>
    </row>
    <row r="15" spans="1:115" x14ac:dyDescent="0.35">
      <c r="A15" s="56"/>
      <c r="B15" s="57" t="s">
        <v>62</v>
      </c>
      <c r="C15" s="58">
        <v>6</v>
      </c>
      <c r="D15" s="57">
        <v>988</v>
      </c>
      <c r="E15" s="59">
        <v>100843402</v>
      </c>
      <c r="F15" s="60" t="s">
        <v>63</v>
      </c>
      <c r="G15" s="61">
        <v>2</v>
      </c>
      <c r="H15" s="61"/>
      <c r="I15" s="62"/>
      <c r="J15" s="62"/>
      <c r="K15" s="62"/>
      <c r="L15" s="62"/>
      <c r="M15" s="63"/>
      <c r="N15" s="63"/>
      <c r="O15" s="63"/>
      <c r="P15" s="63"/>
      <c r="Q15" s="62"/>
      <c r="R15" s="62"/>
      <c r="S15" s="62"/>
      <c r="T15" s="62"/>
      <c r="U15" s="62"/>
      <c r="V15" s="62"/>
      <c r="W15" s="62"/>
      <c r="X15" s="63"/>
      <c r="Y15" s="63">
        <f t="shared" si="0"/>
        <v>0</v>
      </c>
      <c r="Z15" s="63"/>
      <c r="AA15" s="62"/>
      <c r="AB15" s="63"/>
      <c r="AC15" s="63"/>
      <c r="AD15" s="63"/>
      <c r="AE15" s="63">
        <v>2</v>
      </c>
      <c r="AF15" s="62"/>
      <c r="AG15" s="63"/>
      <c r="AH15" s="62">
        <v>2</v>
      </c>
      <c r="AI15" s="62"/>
      <c r="AJ15" s="62"/>
      <c r="AK15" s="62"/>
      <c r="AL15" s="62"/>
      <c r="AM15" s="62"/>
      <c r="AN15" s="62"/>
      <c r="AO15" s="63"/>
      <c r="AP15" s="63">
        <f t="shared" si="1"/>
        <v>4</v>
      </c>
      <c r="AQ15" s="62"/>
      <c r="AR15" s="62">
        <v>2</v>
      </c>
      <c r="AS15" s="63"/>
      <c r="AT15" s="62"/>
      <c r="AU15" s="62"/>
      <c r="AV15" s="62"/>
      <c r="AW15" s="62"/>
      <c r="AX15" s="62"/>
      <c r="AY15" s="63">
        <v>2</v>
      </c>
      <c r="AZ15" s="63">
        <v>2</v>
      </c>
      <c r="BA15" s="62"/>
      <c r="BB15" s="62"/>
      <c r="BC15" s="62"/>
      <c r="BD15" s="62"/>
      <c r="BE15" s="62"/>
      <c r="BF15" s="62"/>
      <c r="BG15" s="63">
        <f t="shared" si="2"/>
        <v>6</v>
      </c>
      <c r="BH15" s="63"/>
      <c r="BI15" s="63"/>
      <c r="BJ15" s="62"/>
      <c r="BK15" s="62"/>
      <c r="BL15" s="63"/>
      <c r="BM15" s="62"/>
      <c r="BN15" s="62"/>
      <c r="BO15" s="62"/>
      <c r="BP15" s="62"/>
      <c r="BQ15" s="63"/>
      <c r="BR15" s="62"/>
      <c r="BS15" s="62"/>
      <c r="BT15" s="62"/>
      <c r="BU15" s="62"/>
      <c r="BV15" s="62"/>
      <c r="BW15" s="62"/>
      <c r="BX15" s="63">
        <f t="shared" si="3"/>
        <v>0</v>
      </c>
      <c r="BY15" s="63"/>
      <c r="BZ15" s="62"/>
      <c r="CA15" s="62"/>
      <c r="CB15" s="62"/>
      <c r="CC15" s="62"/>
      <c r="CD15" s="62"/>
      <c r="CE15" s="62"/>
      <c r="CF15" s="62"/>
      <c r="CG15" s="62"/>
      <c r="CH15" s="62"/>
      <c r="CI15" s="63"/>
      <c r="CJ15" s="62"/>
      <c r="CK15" s="62"/>
      <c r="CL15" s="62"/>
      <c r="CM15" s="62"/>
      <c r="CN15" s="62"/>
      <c r="CO15" s="63">
        <f t="shared" si="4"/>
        <v>0</v>
      </c>
      <c r="CP15" s="62"/>
      <c r="CQ15" s="62"/>
      <c r="CR15" s="62"/>
      <c r="CS15" s="63"/>
      <c r="CT15" s="63"/>
      <c r="CU15" s="63"/>
      <c r="CV15" s="62"/>
      <c r="CW15" s="62"/>
      <c r="CX15" s="62"/>
      <c r="CY15" s="62"/>
      <c r="CZ15" s="62"/>
      <c r="DA15" s="62"/>
      <c r="DB15" s="62"/>
      <c r="DC15" s="62"/>
      <c r="DD15" s="62"/>
      <c r="DE15" s="63"/>
      <c r="DF15" s="62">
        <f t="shared" si="5"/>
        <v>0</v>
      </c>
      <c r="DG15" s="63"/>
      <c r="DH15" s="63">
        <f t="shared" si="6"/>
        <v>10</v>
      </c>
      <c r="DI15" s="63">
        <f t="shared" si="7"/>
        <v>0</v>
      </c>
      <c r="DJ15" s="62">
        <f t="shared" si="8"/>
        <v>2</v>
      </c>
      <c r="DK15" s="62">
        <f t="shared" si="9"/>
        <v>8</v>
      </c>
    </row>
    <row r="16" spans="1:115" x14ac:dyDescent="0.35">
      <c r="A16" s="45"/>
      <c r="B16" s="46" t="s">
        <v>62</v>
      </c>
      <c r="C16" s="47">
        <v>6</v>
      </c>
      <c r="D16" s="48">
        <v>1017</v>
      </c>
      <c r="E16" s="49">
        <v>100840749</v>
      </c>
      <c r="F16" s="50" t="s">
        <v>64</v>
      </c>
      <c r="G16" s="51">
        <v>2</v>
      </c>
      <c r="H16" s="51"/>
      <c r="I16" s="52"/>
      <c r="J16" s="53"/>
      <c r="K16" s="53"/>
      <c r="L16" s="53"/>
      <c r="M16" s="54"/>
      <c r="N16" s="54"/>
      <c r="O16" s="54"/>
      <c r="P16" s="54"/>
      <c r="Q16" s="53"/>
      <c r="R16" s="53"/>
      <c r="S16" s="53"/>
      <c r="T16" s="53"/>
      <c r="U16" s="53"/>
      <c r="V16" s="55"/>
      <c r="W16" s="55"/>
      <c r="X16" s="54"/>
      <c r="Y16" s="54">
        <f t="shared" si="0"/>
        <v>0</v>
      </c>
      <c r="Z16" s="54"/>
      <c r="AA16" s="53"/>
      <c r="AB16" s="54">
        <v>2</v>
      </c>
      <c r="AC16" s="54"/>
      <c r="AD16" s="54"/>
      <c r="AE16" s="54">
        <v>2</v>
      </c>
      <c r="AF16" s="53">
        <v>2</v>
      </c>
      <c r="AG16" s="54"/>
      <c r="AH16" s="53"/>
      <c r="AI16" s="53"/>
      <c r="AJ16" s="53"/>
      <c r="AK16" s="53"/>
      <c r="AL16" s="53"/>
      <c r="AM16" s="55"/>
      <c r="AN16" s="55"/>
      <c r="AO16" s="54"/>
      <c r="AP16" s="54">
        <f t="shared" si="1"/>
        <v>6</v>
      </c>
      <c r="AQ16" s="55"/>
      <c r="AR16" s="53">
        <v>2</v>
      </c>
      <c r="AS16" s="54"/>
      <c r="AT16" s="53"/>
      <c r="AU16" s="53"/>
      <c r="AV16" s="53"/>
      <c r="AW16" s="53">
        <v>2</v>
      </c>
      <c r="AX16" s="53"/>
      <c r="AY16" s="54">
        <v>2</v>
      </c>
      <c r="AZ16" s="54">
        <v>2</v>
      </c>
      <c r="BA16" s="53"/>
      <c r="BB16" s="53"/>
      <c r="BC16" s="53"/>
      <c r="BD16" s="53"/>
      <c r="BE16" s="55"/>
      <c r="BF16" s="55"/>
      <c r="BG16" s="54">
        <f t="shared" si="2"/>
        <v>8</v>
      </c>
      <c r="BH16" s="54"/>
      <c r="BI16" s="54"/>
      <c r="BJ16" s="53"/>
      <c r="BK16" s="53"/>
      <c r="BL16" s="54"/>
      <c r="BM16" s="53"/>
      <c r="BN16" s="53"/>
      <c r="BO16" s="53"/>
      <c r="BP16" s="53"/>
      <c r="BQ16" s="54"/>
      <c r="BR16" s="53"/>
      <c r="BS16" s="53"/>
      <c r="BT16" s="53"/>
      <c r="BU16" s="53"/>
      <c r="BV16" s="55"/>
      <c r="BW16" s="55"/>
      <c r="BX16" s="54">
        <f t="shared" si="3"/>
        <v>0</v>
      </c>
      <c r="BY16" s="54"/>
      <c r="BZ16" s="53"/>
      <c r="CA16" s="53"/>
      <c r="CB16" s="53"/>
      <c r="CC16" s="53"/>
      <c r="CD16" s="53"/>
      <c r="CE16" s="53"/>
      <c r="CF16" s="53"/>
      <c r="CG16" s="53"/>
      <c r="CH16" s="53"/>
      <c r="CI16" s="54"/>
      <c r="CJ16" s="53"/>
      <c r="CK16" s="53"/>
      <c r="CL16" s="53"/>
      <c r="CM16" s="55"/>
      <c r="CN16" s="55"/>
      <c r="CO16" s="54">
        <f t="shared" si="4"/>
        <v>0</v>
      </c>
      <c r="CP16" s="55"/>
      <c r="CQ16" s="53"/>
      <c r="CR16" s="53"/>
      <c r="CS16" s="54"/>
      <c r="CT16" s="54"/>
      <c r="CU16" s="54"/>
      <c r="CV16" s="53"/>
      <c r="CW16" s="53"/>
      <c r="CX16" s="53"/>
      <c r="CY16" s="53"/>
      <c r="CZ16" s="53"/>
      <c r="DA16" s="53"/>
      <c r="DB16" s="53"/>
      <c r="DC16" s="55"/>
      <c r="DD16" s="55"/>
      <c r="DE16" s="54"/>
      <c r="DF16" s="55">
        <f t="shared" si="5"/>
        <v>0</v>
      </c>
      <c r="DG16" s="54"/>
      <c r="DH16" s="54">
        <f t="shared" si="6"/>
        <v>14</v>
      </c>
      <c r="DI16" s="54">
        <f t="shared" si="7"/>
        <v>0</v>
      </c>
      <c r="DJ16" s="53">
        <f t="shared" si="8"/>
        <v>2</v>
      </c>
      <c r="DK16" s="53">
        <f t="shared" si="9"/>
        <v>12</v>
      </c>
    </row>
    <row r="17" spans="1:115" x14ac:dyDescent="0.35">
      <c r="A17" s="56"/>
      <c r="B17" s="57" t="s">
        <v>57</v>
      </c>
      <c r="C17" s="58">
        <v>8</v>
      </c>
      <c r="D17" s="57">
        <v>9459</v>
      </c>
      <c r="E17" s="59">
        <v>100848868</v>
      </c>
      <c r="F17" s="60" t="s">
        <v>61</v>
      </c>
      <c r="G17" s="61">
        <v>2</v>
      </c>
      <c r="H17" s="61"/>
      <c r="I17" s="62"/>
      <c r="J17" s="62"/>
      <c r="K17" s="62"/>
      <c r="L17" s="62"/>
      <c r="M17" s="63"/>
      <c r="N17" s="63"/>
      <c r="O17" s="63"/>
      <c r="P17" s="63"/>
      <c r="Q17" s="62"/>
      <c r="R17" s="62"/>
      <c r="S17" s="62"/>
      <c r="T17" s="62"/>
      <c r="U17" s="62"/>
      <c r="V17" s="62"/>
      <c r="W17" s="62"/>
      <c r="X17" s="63"/>
      <c r="Y17" s="63">
        <f t="shared" si="0"/>
        <v>0</v>
      </c>
      <c r="Z17" s="63"/>
      <c r="AA17" s="62"/>
      <c r="AB17" s="63"/>
      <c r="AC17" s="63"/>
      <c r="AD17" s="63"/>
      <c r="AE17" s="63">
        <v>2</v>
      </c>
      <c r="AF17" s="62"/>
      <c r="AG17" s="63"/>
      <c r="AH17" s="62">
        <v>2</v>
      </c>
      <c r="AI17" s="62"/>
      <c r="AJ17" s="62"/>
      <c r="AK17" s="62"/>
      <c r="AL17" s="62"/>
      <c r="AM17" s="62"/>
      <c r="AN17" s="62"/>
      <c r="AO17" s="63"/>
      <c r="AP17" s="63">
        <f t="shared" si="1"/>
        <v>4</v>
      </c>
      <c r="AQ17" s="62"/>
      <c r="AR17" s="62"/>
      <c r="AS17" s="63"/>
      <c r="AT17" s="62"/>
      <c r="AU17" s="62">
        <v>2</v>
      </c>
      <c r="AV17" s="62"/>
      <c r="AW17" s="62"/>
      <c r="AX17" s="62">
        <v>2</v>
      </c>
      <c r="AY17" s="63">
        <v>2</v>
      </c>
      <c r="AZ17" s="63">
        <v>2</v>
      </c>
      <c r="BA17" s="62"/>
      <c r="BB17" s="62"/>
      <c r="BC17" s="62"/>
      <c r="BD17" s="62"/>
      <c r="BE17" s="62"/>
      <c r="BF17" s="62"/>
      <c r="BG17" s="63">
        <f t="shared" si="2"/>
        <v>8</v>
      </c>
      <c r="BH17" s="63"/>
      <c r="BI17" s="63"/>
      <c r="BJ17" s="62"/>
      <c r="BK17" s="62"/>
      <c r="BL17" s="63"/>
      <c r="BM17" s="62"/>
      <c r="BN17" s="62"/>
      <c r="BO17" s="62"/>
      <c r="BP17" s="62"/>
      <c r="BQ17" s="63"/>
      <c r="BR17" s="62"/>
      <c r="BS17" s="62"/>
      <c r="BT17" s="62"/>
      <c r="BU17" s="62"/>
      <c r="BV17" s="62"/>
      <c r="BW17" s="62"/>
      <c r="BX17" s="63">
        <f t="shared" si="3"/>
        <v>0</v>
      </c>
      <c r="BY17" s="63"/>
      <c r="BZ17" s="62"/>
      <c r="CA17" s="62"/>
      <c r="CB17" s="62"/>
      <c r="CC17" s="62"/>
      <c r="CD17" s="62"/>
      <c r="CE17" s="62"/>
      <c r="CF17" s="62"/>
      <c r="CG17" s="62"/>
      <c r="CH17" s="62"/>
      <c r="CI17" s="63"/>
      <c r="CJ17" s="62"/>
      <c r="CK17" s="62"/>
      <c r="CL17" s="62"/>
      <c r="CM17" s="62"/>
      <c r="CN17" s="62"/>
      <c r="CO17" s="63">
        <f t="shared" si="4"/>
        <v>0</v>
      </c>
      <c r="CP17" s="62"/>
      <c r="CQ17" s="62"/>
      <c r="CR17" s="62"/>
      <c r="CS17" s="63"/>
      <c r="CT17" s="63"/>
      <c r="CU17" s="63"/>
      <c r="CV17" s="62"/>
      <c r="CW17" s="62"/>
      <c r="CX17" s="62"/>
      <c r="CY17" s="62"/>
      <c r="CZ17" s="62"/>
      <c r="DA17" s="62"/>
      <c r="DB17" s="62"/>
      <c r="DC17" s="62"/>
      <c r="DD17" s="62"/>
      <c r="DE17" s="63"/>
      <c r="DF17" s="62">
        <f t="shared" si="5"/>
        <v>0</v>
      </c>
      <c r="DG17" s="63"/>
      <c r="DH17" s="63">
        <f t="shared" si="6"/>
        <v>12</v>
      </c>
      <c r="DI17" s="63">
        <f t="shared" si="7"/>
        <v>0</v>
      </c>
      <c r="DJ17" s="62">
        <f t="shared" si="8"/>
        <v>2</v>
      </c>
      <c r="DK17" s="62">
        <f t="shared" si="9"/>
        <v>10</v>
      </c>
    </row>
    <row r="18" spans="1:115" x14ac:dyDescent="0.35">
      <c r="A18" s="45"/>
      <c r="B18" s="46" t="s">
        <v>34</v>
      </c>
      <c r="C18" s="47">
        <v>8</v>
      </c>
      <c r="D18" s="48">
        <v>1940</v>
      </c>
      <c r="E18" s="49">
        <v>100846327</v>
      </c>
      <c r="F18" s="50" t="s">
        <v>43</v>
      </c>
      <c r="G18" s="51">
        <v>6</v>
      </c>
      <c r="H18" s="51"/>
      <c r="I18" s="52"/>
      <c r="J18" s="53"/>
      <c r="K18" s="53"/>
      <c r="L18" s="53"/>
      <c r="M18" s="54"/>
      <c r="N18" s="54"/>
      <c r="O18" s="54"/>
      <c r="P18" s="54"/>
      <c r="Q18" s="53"/>
      <c r="R18" s="53"/>
      <c r="S18" s="53"/>
      <c r="T18" s="53"/>
      <c r="U18" s="53"/>
      <c r="V18" s="55"/>
      <c r="W18" s="55"/>
      <c r="X18" s="54"/>
      <c r="Y18" s="54">
        <f t="shared" si="0"/>
        <v>0</v>
      </c>
      <c r="Z18" s="54"/>
      <c r="AA18" s="53"/>
      <c r="AB18" s="54">
        <v>2</v>
      </c>
      <c r="AC18" s="54">
        <v>2</v>
      </c>
      <c r="AD18" s="54">
        <v>2</v>
      </c>
      <c r="AE18" s="54">
        <v>2</v>
      </c>
      <c r="AF18" s="53">
        <v>2</v>
      </c>
      <c r="AG18" s="54">
        <v>2</v>
      </c>
      <c r="AH18" s="53">
        <v>2</v>
      </c>
      <c r="AI18" s="53">
        <v>2</v>
      </c>
      <c r="AJ18" s="53"/>
      <c r="AK18" s="53"/>
      <c r="AL18" s="53"/>
      <c r="AM18" s="55"/>
      <c r="AN18" s="55"/>
      <c r="AO18" s="54"/>
      <c r="AP18" s="54">
        <f t="shared" si="1"/>
        <v>16</v>
      </c>
      <c r="AQ18" s="55"/>
      <c r="AR18" s="53">
        <v>2</v>
      </c>
      <c r="AS18" s="54"/>
      <c r="AT18" s="53"/>
      <c r="AU18" s="53"/>
      <c r="AV18" s="53"/>
      <c r="AW18" s="53"/>
      <c r="AX18" s="53"/>
      <c r="AY18" s="54"/>
      <c r="AZ18" s="54">
        <v>2</v>
      </c>
      <c r="BA18" s="53"/>
      <c r="BB18" s="53"/>
      <c r="BC18" s="53"/>
      <c r="BD18" s="53"/>
      <c r="BE18" s="55"/>
      <c r="BF18" s="55"/>
      <c r="BG18" s="54">
        <f t="shared" si="2"/>
        <v>4</v>
      </c>
      <c r="BH18" s="54"/>
      <c r="BI18" s="54">
        <v>2</v>
      </c>
      <c r="BJ18" s="53"/>
      <c r="BK18" s="53"/>
      <c r="BL18" s="54"/>
      <c r="BM18" s="53"/>
      <c r="BN18" s="53"/>
      <c r="BO18" s="53"/>
      <c r="BP18" s="53"/>
      <c r="BQ18" s="54"/>
      <c r="BR18" s="53"/>
      <c r="BS18" s="53"/>
      <c r="BT18" s="53"/>
      <c r="BU18" s="53"/>
      <c r="BV18" s="55"/>
      <c r="BW18" s="55"/>
      <c r="BX18" s="54">
        <f t="shared" si="3"/>
        <v>2</v>
      </c>
      <c r="BY18" s="54"/>
      <c r="BZ18" s="53"/>
      <c r="CA18" s="53"/>
      <c r="CB18" s="53"/>
      <c r="CC18" s="53"/>
      <c r="CD18" s="53"/>
      <c r="CE18" s="53"/>
      <c r="CF18" s="53"/>
      <c r="CG18" s="53"/>
      <c r="CH18" s="53"/>
      <c r="CI18" s="54"/>
      <c r="CJ18" s="53"/>
      <c r="CK18" s="53"/>
      <c r="CL18" s="53"/>
      <c r="CM18" s="55"/>
      <c r="CN18" s="55"/>
      <c r="CO18" s="54">
        <f t="shared" si="4"/>
        <v>0</v>
      </c>
      <c r="CP18" s="55"/>
      <c r="CQ18" s="53"/>
      <c r="CR18" s="53"/>
      <c r="CS18" s="54"/>
      <c r="CT18" s="54"/>
      <c r="CU18" s="54"/>
      <c r="CV18" s="53"/>
      <c r="CW18" s="53"/>
      <c r="CX18" s="53"/>
      <c r="CY18" s="53"/>
      <c r="CZ18" s="53"/>
      <c r="DA18" s="53"/>
      <c r="DB18" s="53"/>
      <c r="DC18" s="55"/>
      <c r="DD18" s="55"/>
      <c r="DE18" s="54"/>
      <c r="DF18" s="55">
        <f t="shared" si="5"/>
        <v>0</v>
      </c>
      <c r="DG18" s="54"/>
      <c r="DH18" s="54">
        <f t="shared" si="6"/>
        <v>22</v>
      </c>
      <c r="DI18" s="54">
        <f t="shared" si="7"/>
        <v>0</v>
      </c>
      <c r="DJ18" s="53">
        <f t="shared" si="8"/>
        <v>6</v>
      </c>
      <c r="DK18" s="53">
        <f t="shared" si="9"/>
        <v>16</v>
      </c>
    </row>
    <row r="19" spans="1:115" x14ac:dyDescent="0.35">
      <c r="A19" s="56"/>
      <c r="B19" s="57" t="s">
        <v>34</v>
      </c>
      <c r="C19" s="58">
        <v>8</v>
      </c>
      <c r="D19" s="57">
        <v>1860</v>
      </c>
      <c r="E19" s="59">
        <v>100847927</v>
      </c>
      <c r="F19" s="60" t="s">
        <v>44</v>
      </c>
      <c r="G19" s="61">
        <v>4</v>
      </c>
      <c r="H19" s="61"/>
      <c r="I19" s="62"/>
      <c r="J19" s="62"/>
      <c r="K19" s="62"/>
      <c r="L19" s="62"/>
      <c r="M19" s="63"/>
      <c r="N19" s="63"/>
      <c r="O19" s="63"/>
      <c r="P19" s="63"/>
      <c r="Q19" s="62"/>
      <c r="R19" s="62"/>
      <c r="S19" s="62"/>
      <c r="T19" s="62"/>
      <c r="U19" s="62"/>
      <c r="V19" s="62"/>
      <c r="W19" s="62"/>
      <c r="X19" s="63"/>
      <c r="Y19" s="63">
        <f t="shared" si="0"/>
        <v>0</v>
      </c>
      <c r="Z19" s="63"/>
      <c r="AA19" s="62"/>
      <c r="AB19" s="63"/>
      <c r="AC19" s="63">
        <v>2</v>
      </c>
      <c r="AD19" s="63"/>
      <c r="AE19" s="63">
        <v>2</v>
      </c>
      <c r="AF19" s="62"/>
      <c r="AG19" s="63">
        <v>2</v>
      </c>
      <c r="AH19" s="62">
        <v>2</v>
      </c>
      <c r="AI19" s="62">
        <v>2</v>
      </c>
      <c r="AJ19" s="62"/>
      <c r="AK19" s="62"/>
      <c r="AL19" s="62"/>
      <c r="AM19" s="62"/>
      <c r="AN19" s="62"/>
      <c r="AO19" s="63"/>
      <c r="AP19" s="63">
        <f t="shared" si="1"/>
        <v>10</v>
      </c>
      <c r="AQ19" s="62"/>
      <c r="AR19" s="62"/>
      <c r="AS19" s="63"/>
      <c r="AT19" s="62">
        <v>2</v>
      </c>
      <c r="AU19" s="62">
        <v>2</v>
      </c>
      <c r="AV19" s="62"/>
      <c r="AW19" s="62"/>
      <c r="AX19" s="62"/>
      <c r="AY19" s="63">
        <v>2</v>
      </c>
      <c r="AZ19" s="63">
        <v>2</v>
      </c>
      <c r="BA19" s="62"/>
      <c r="BB19" s="62"/>
      <c r="BC19" s="62"/>
      <c r="BD19" s="62"/>
      <c r="BE19" s="62"/>
      <c r="BF19" s="62"/>
      <c r="BG19" s="63">
        <f t="shared" si="2"/>
        <v>8</v>
      </c>
      <c r="BH19" s="63"/>
      <c r="BI19" s="63"/>
      <c r="BJ19" s="62"/>
      <c r="BK19" s="62"/>
      <c r="BL19" s="63"/>
      <c r="BM19" s="62"/>
      <c r="BN19" s="62"/>
      <c r="BO19" s="62"/>
      <c r="BP19" s="62"/>
      <c r="BQ19" s="63"/>
      <c r="BR19" s="62"/>
      <c r="BS19" s="62"/>
      <c r="BT19" s="62"/>
      <c r="BU19" s="62"/>
      <c r="BV19" s="62"/>
      <c r="BW19" s="62"/>
      <c r="BX19" s="63">
        <f t="shared" si="3"/>
        <v>0</v>
      </c>
      <c r="BY19" s="63"/>
      <c r="BZ19" s="62"/>
      <c r="CA19" s="62"/>
      <c r="CB19" s="62"/>
      <c r="CC19" s="62"/>
      <c r="CD19" s="62"/>
      <c r="CE19" s="62"/>
      <c r="CF19" s="62"/>
      <c r="CG19" s="62"/>
      <c r="CH19" s="62"/>
      <c r="CI19" s="63"/>
      <c r="CJ19" s="62"/>
      <c r="CK19" s="62"/>
      <c r="CL19" s="62"/>
      <c r="CM19" s="62"/>
      <c r="CN19" s="62"/>
      <c r="CO19" s="63">
        <f t="shared" si="4"/>
        <v>0</v>
      </c>
      <c r="CP19" s="62"/>
      <c r="CQ19" s="62"/>
      <c r="CR19" s="62"/>
      <c r="CS19" s="63"/>
      <c r="CT19" s="63"/>
      <c r="CU19" s="63"/>
      <c r="CV19" s="62"/>
      <c r="CW19" s="62"/>
      <c r="CX19" s="62"/>
      <c r="CY19" s="62"/>
      <c r="CZ19" s="62"/>
      <c r="DA19" s="62"/>
      <c r="DB19" s="62"/>
      <c r="DC19" s="62"/>
      <c r="DD19" s="62"/>
      <c r="DE19" s="63"/>
      <c r="DF19" s="62">
        <f t="shared" si="5"/>
        <v>0</v>
      </c>
      <c r="DG19" s="63"/>
      <c r="DH19" s="63">
        <f t="shared" si="6"/>
        <v>18</v>
      </c>
      <c r="DI19" s="63">
        <f t="shared" si="7"/>
        <v>0</v>
      </c>
      <c r="DJ19" s="62">
        <f t="shared" si="8"/>
        <v>4</v>
      </c>
      <c r="DK19" s="62">
        <f t="shared" si="9"/>
        <v>14</v>
      </c>
    </row>
    <row r="20" spans="1:115" x14ac:dyDescent="0.35">
      <c r="A20" s="45"/>
      <c r="B20" s="46" t="s">
        <v>34</v>
      </c>
      <c r="C20" s="47">
        <v>5</v>
      </c>
      <c r="D20" s="48">
        <v>2097</v>
      </c>
      <c r="E20" s="49">
        <v>100848524</v>
      </c>
      <c r="F20" s="50" t="s">
        <v>36</v>
      </c>
      <c r="G20" s="51">
        <v>2</v>
      </c>
      <c r="H20" s="51"/>
      <c r="I20" s="52"/>
      <c r="J20" s="53"/>
      <c r="K20" s="53"/>
      <c r="L20" s="53"/>
      <c r="M20" s="54"/>
      <c r="N20" s="54"/>
      <c r="O20" s="54"/>
      <c r="P20" s="54"/>
      <c r="Q20" s="53"/>
      <c r="R20" s="53"/>
      <c r="S20" s="53"/>
      <c r="T20" s="53"/>
      <c r="U20" s="53"/>
      <c r="V20" s="55"/>
      <c r="W20" s="55"/>
      <c r="X20" s="54"/>
      <c r="Y20" s="54">
        <f t="shared" si="0"/>
        <v>0</v>
      </c>
      <c r="Z20" s="54"/>
      <c r="AA20" s="53"/>
      <c r="AB20" s="54"/>
      <c r="AC20" s="54"/>
      <c r="AD20" s="54"/>
      <c r="AE20" s="54">
        <v>2</v>
      </c>
      <c r="AF20" s="53"/>
      <c r="AG20" s="54">
        <v>2</v>
      </c>
      <c r="AH20" s="53"/>
      <c r="AI20" s="53">
        <v>2</v>
      </c>
      <c r="AJ20" s="53"/>
      <c r="AK20" s="53"/>
      <c r="AL20" s="53"/>
      <c r="AM20" s="55"/>
      <c r="AN20" s="55"/>
      <c r="AO20" s="54"/>
      <c r="AP20" s="54">
        <f t="shared" si="1"/>
        <v>6</v>
      </c>
      <c r="AQ20" s="55"/>
      <c r="AR20" s="53">
        <v>2</v>
      </c>
      <c r="AS20" s="54"/>
      <c r="AT20" s="53"/>
      <c r="AU20" s="53"/>
      <c r="AV20" s="53"/>
      <c r="AW20" s="53">
        <v>2</v>
      </c>
      <c r="AX20" s="53"/>
      <c r="AY20" s="54">
        <v>2</v>
      </c>
      <c r="AZ20" s="54">
        <v>2</v>
      </c>
      <c r="BA20" s="53"/>
      <c r="BB20" s="53"/>
      <c r="BC20" s="53"/>
      <c r="BD20" s="53"/>
      <c r="BE20" s="55"/>
      <c r="BF20" s="55"/>
      <c r="BG20" s="54">
        <f t="shared" si="2"/>
        <v>8</v>
      </c>
      <c r="BH20" s="54"/>
      <c r="BI20" s="54">
        <v>2</v>
      </c>
      <c r="BJ20" s="53">
        <v>2</v>
      </c>
      <c r="BK20" s="53"/>
      <c r="BL20" s="54"/>
      <c r="BM20" s="53"/>
      <c r="BN20" s="53"/>
      <c r="BO20" s="53"/>
      <c r="BP20" s="53"/>
      <c r="BQ20" s="54"/>
      <c r="BR20" s="53"/>
      <c r="BS20" s="53"/>
      <c r="BT20" s="53"/>
      <c r="BU20" s="53"/>
      <c r="BV20" s="55"/>
      <c r="BW20" s="55"/>
      <c r="BX20" s="54">
        <f t="shared" si="3"/>
        <v>4</v>
      </c>
      <c r="BY20" s="54"/>
      <c r="BZ20" s="53"/>
      <c r="CA20" s="53"/>
      <c r="CB20" s="53"/>
      <c r="CC20" s="53"/>
      <c r="CD20" s="53"/>
      <c r="CE20" s="53"/>
      <c r="CF20" s="53"/>
      <c r="CG20" s="53"/>
      <c r="CH20" s="53"/>
      <c r="CI20" s="54"/>
      <c r="CJ20" s="53"/>
      <c r="CK20" s="53"/>
      <c r="CL20" s="53"/>
      <c r="CM20" s="55"/>
      <c r="CN20" s="55"/>
      <c r="CO20" s="54">
        <f t="shared" si="4"/>
        <v>0</v>
      </c>
      <c r="CP20" s="55"/>
      <c r="CQ20" s="53"/>
      <c r="CR20" s="53"/>
      <c r="CS20" s="54"/>
      <c r="CT20" s="54"/>
      <c r="CU20" s="54"/>
      <c r="CV20" s="53"/>
      <c r="CW20" s="53"/>
      <c r="CX20" s="53"/>
      <c r="CY20" s="53"/>
      <c r="CZ20" s="53"/>
      <c r="DA20" s="53"/>
      <c r="DB20" s="53"/>
      <c r="DC20" s="55"/>
      <c r="DD20" s="55"/>
      <c r="DE20" s="54"/>
      <c r="DF20" s="55">
        <f t="shared" si="5"/>
        <v>0</v>
      </c>
      <c r="DG20" s="54"/>
      <c r="DH20" s="54">
        <f t="shared" si="6"/>
        <v>18</v>
      </c>
      <c r="DI20" s="54">
        <f t="shared" si="7"/>
        <v>0</v>
      </c>
      <c r="DJ20" s="53">
        <f t="shared" si="8"/>
        <v>2</v>
      </c>
      <c r="DK20" s="53">
        <f t="shared" si="9"/>
        <v>16</v>
      </c>
    </row>
    <row r="21" spans="1:115" x14ac:dyDescent="0.35">
      <c r="A21" s="56"/>
      <c r="B21" s="57" t="s">
        <v>62</v>
      </c>
      <c r="C21" s="58">
        <v>7</v>
      </c>
      <c r="D21" s="57">
        <v>857</v>
      </c>
      <c r="E21" s="59">
        <v>100843876</v>
      </c>
      <c r="F21" s="60" t="s">
        <v>67</v>
      </c>
      <c r="G21" s="61">
        <v>2</v>
      </c>
      <c r="H21" s="61"/>
      <c r="I21" s="62"/>
      <c r="J21" s="62"/>
      <c r="K21" s="62"/>
      <c r="L21" s="62"/>
      <c r="M21" s="63"/>
      <c r="N21" s="63"/>
      <c r="O21" s="63"/>
      <c r="P21" s="63"/>
      <c r="Q21" s="62"/>
      <c r="R21" s="62"/>
      <c r="S21" s="62"/>
      <c r="T21" s="62"/>
      <c r="U21" s="62"/>
      <c r="V21" s="62"/>
      <c r="W21" s="62"/>
      <c r="X21" s="63"/>
      <c r="Y21" s="63">
        <f t="shared" si="0"/>
        <v>0</v>
      </c>
      <c r="Z21" s="63"/>
      <c r="AA21" s="62"/>
      <c r="AB21" s="63"/>
      <c r="AC21" s="63"/>
      <c r="AD21" s="63"/>
      <c r="AE21" s="63">
        <v>2</v>
      </c>
      <c r="AF21" s="62"/>
      <c r="AG21" s="63"/>
      <c r="AH21" s="62"/>
      <c r="AI21" s="62"/>
      <c r="AJ21" s="62"/>
      <c r="AK21" s="62"/>
      <c r="AL21" s="62"/>
      <c r="AM21" s="62"/>
      <c r="AN21" s="62"/>
      <c r="AO21" s="63"/>
      <c r="AP21" s="63">
        <f t="shared" si="1"/>
        <v>2</v>
      </c>
      <c r="AQ21" s="62"/>
      <c r="AR21" s="62"/>
      <c r="AS21" s="63"/>
      <c r="AT21" s="62"/>
      <c r="AU21" s="62"/>
      <c r="AV21" s="62"/>
      <c r="AW21" s="62"/>
      <c r="AX21" s="62"/>
      <c r="AY21" s="63">
        <v>2</v>
      </c>
      <c r="AZ21" s="63">
        <v>2</v>
      </c>
      <c r="BA21" s="62"/>
      <c r="BB21" s="62"/>
      <c r="BC21" s="62"/>
      <c r="BD21" s="62"/>
      <c r="BE21" s="62"/>
      <c r="BF21" s="62"/>
      <c r="BG21" s="63">
        <f t="shared" si="2"/>
        <v>4</v>
      </c>
      <c r="BH21" s="63"/>
      <c r="BI21" s="63"/>
      <c r="BJ21" s="62"/>
      <c r="BK21" s="62"/>
      <c r="BL21" s="63"/>
      <c r="BM21" s="62"/>
      <c r="BN21" s="62"/>
      <c r="BO21" s="62"/>
      <c r="BP21" s="62"/>
      <c r="BQ21" s="63"/>
      <c r="BR21" s="62"/>
      <c r="BS21" s="62"/>
      <c r="BT21" s="62"/>
      <c r="BU21" s="62"/>
      <c r="BV21" s="62"/>
      <c r="BW21" s="62"/>
      <c r="BX21" s="63">
        <f t="shared" si="3"/>
        <v>0</v>
      </c>
      <c r="BY21" s="63"/>
      <c r="BZ21" s="62"/>
      <c r="CA21" s="62"/>
      <c r="CB21" s="62"/>
      <c r="CC21" s="62"/>
      <c r="CD21" s="62"/>
      <c r="CE21" s="62"/>
      <c r="CF21" s="62"/>
      <c r="CG21" s="62"/>
      <c r="CH21" s="62"/>
      <c r="CI21" s="63"/>
      <c r="CJ21" s="62"/>
      <c r="CK21" s="62"/>
      <c r="CL21" s="62"/>
      <c r="CM21" s="62"/>
      <c r="CN21" s="62"/>
      <c r="CO21" s="63">
        <f t="shared" si="4"/>
        <v>0</v>
      </c>
      <c r="CP21" s="62"/>
      <c r="CQ21" s="62"/>
      <c r="CR21" s="62"/>
      <c r="CS21" s="63"/>
      <c r="CT21" s="63"/>
      <c r="CU21" s="63"/>
      <c r="CV21" s="62"/>
      <c r="CW21" s="62"/>
      <c r="CX21" s="62"/>
      <c r="CY21" s="62"/>
      <c r="CZ21" s="62"/>
      <c r="DA21" s="62"/>
      <c r="DB21" s="62"/>
      <c r="DC21" s="62"/>
      <c r="DD21" s="62"/>
      <c r="DE21" s="63"/>
      <c r="DF21" s="62">
        <f t="shared" si="5"/>
        <v>0</v>
      </c>
      <c r="DG21" s="63"/>
      <c r="DH21" s="63">
        <f t="shared" si="6"/>
        <v>6</v>
      </c>
      <c r="DI21" s="63">
        <f t="shared" si="7"/>
        <v>0</v>
      </c>
      <c r="DJ21" s="62">
        <f t="shared" si="8"/>
        <v>2</v>
      </c>
      <c r="DK21" s="62">
        <f t="shared" si="9"/>
        <v>4</v>
      </c>
    </row>
    <row r="22" spans="1:115" x14ac:dyDescent="0.35">
      <c r="A22" s="45"/>
      <c r="B22" s="46" t="s">
        <v>65</v>
      </c>
      <c r="C22" s="47">
        <v>6</v>
      </c>
      <c r="D22" s="48">
        <v>1041</v>
      </c>
      <c r="E22" s="49">
        <v>100850656</v>
      </c>
      <c r="F22" s="50" t="s">
        <v>66</v>
      </c>
      <c r="G22" s="51">
        <v>2</v>
      </c>
      <c r="H22" s="51"/>
      <c r="I22" s="52"/>
      <c r="J22" s="53"/>
      <c r="K22" s="53"/>
      <c r="L22" s="53"/>
      <c r="M22" s="54"/>
      <c r="N22" s="54"/>
      <c r="O22" s="54"/>
      <c r="P22" s="54"/>
      <c r="Q22" s="53"/>
      <c r="R22" s="53"/>
      <c r="S22" s="53"/>
      <c r="T22" s="53"/>
      <c r="U22" s="53"/>
      <c r="V22" s="55"/>
      <c r="W22" s="55"/>
      <c r="X22" s="54"/>
      <c r="Y22" s="54">
        <f t="shared" si="0"/>
        <v>0</v>
      </c>
      <c r="Z22" s="54"/>
      <c r="AA22" s="53"/>
      <c r="AB22" s="54"/>
      <c r="AC22" s="54"/>
      <c r="AD22" s="54"/>
      <c r="AE22" s="54">
        <v>2</v>
      </c>
      <c r="AF22" s="53"/>
      <c r="AG22" s="54">
        <v>2</v>
      </c>
      <c r="AH22" s="53"/>
      <c r="AI22" s="53"/>
      <c r="AJ22" s="53"/>
      <c r="AK22" s="53"/>
      <c r="AL22" s="53"/>
      <c r="AM22" s="55"/>
      <c r="AN22" s="55"/>
      <c r="AO22" s="54"/>
      <c r="AP22" s="54">
        <f t="shared" si="1"/>
        <v>4</v>
      </c>
      <c r="AQ22" s="55"/>
      <c r="AR22" s="53"/>
      <c r="AS22" s="54"/>
      <c r="AT22" s="53"/>
      <c r="AU22" s="53"/>
      <c r="AV22" s="53"/>
      <c r="AW22" s="53"/>
      <c r="AX22" s="53"/>
      <c r="AY22" s="54">
        <v>2</v>
      </c>
      <c r="AZ22" s="54">
        <v>2</v>
      </c>
      <c r="BA22" s="53"/>
      <c r="BB22" s="53"/>
      <c r="BC22" s="53"/>
      <c r="BD22" s="53"/>
      <c r="BE22" s="55"/>
      <c r="BF22" s="55"/>
      <c r="BG22" s="54">
        <f t="shared" si="2"/>
        <v>4</v>
      </c>
      <c r="BH22" s="54"/>
      <c r="BI22" s="54"/>
      <c r="BJ22" s="53"/>
      <c r="BK22" s="53"/>
      <c r="BL22" s="54"/>
      <c r="BM22" s="53"/>
      <c r="BN22" s="53"/>
      <c r="BO22" s="53"/>
      <c r="BP22" s="53"/>
      <c r="BQ22" s="54"/>
      <c r="BR22" s="53"/>
      <c r="BS22" s="53"/>
      <c r="BT22" s="53"/>
      <c r="BU22" s="53"/>
      <c r="BV22" s="55"/>
      <c r="BW22" s="55"/>
      <c r="BX22" s="54">
        <f t="shared" si="3"/>
        <v>0</v>
      </c>
      <c r="BY22" s="54"/>
      <c r="BZ22" s="53"/>
      <c r="CA22" s="53"/>
      <c r="CB22" s="53"/>
      <c r="CC22" s="53"/>
      <c r="CD22" s="53"/>
      <c r="CE22" s="53"/>
      <c r="CF22" s="53"/>
      <c r="CG22" s="53"/>
      <c r="CH22" s="53"/>
      <c r="CI22" s="54"/>
      <c r="CJ22" s="53"/>
      <c r="CK22" s="53"/>
      <c r="CL22" s="53"/>
      <c r="CM22" s="55"/>
      <c r="CN22" s="55"/>
      <c r="CO22" s="54">
        <f t="shared" si="4"/>
        <v>0</v>
      </c>
      <c r="CP22" s="55"/>
      <c r="CQ22" s="53"/>
      <c r="CR22" s="53"/>
      <c r="CS22" s="54"/>
      <c r="CT22" s="54"/>
      <c r="CU22" s="54"/>
      <c r="CV22" s="53"/>
      <c r="CW22" s="53"/>
      <c r="CX22" s="53"/>
      <c r="CY22" s="53"/>
      <c r="CZ22" s="53"/>
      <c r="DA22" s="53"/>
      <c r="DB22" s="53"/>
      <c r="DC22" s="55"/>
      <c r="DD22" s="55"/>
      <c r="DE22" s="54"/>
      <c r="DF22" s="55">
        <f t="shared" si="5"/>
        <v>0</v>
      </c>
      <c r="DG22" s="54"/>
      <c r="DH22" s="54">
        <f t="shared" si="6"/>
        <v>8</v>
      </c>
      <c r="DI22" s="54">
        <f t="shared" si="7"/>
        <v>0</v>
      </c>
      <c r="DJ22" s="53">
        <f t="shared" si="8"/>
        <v>2</v>
      </c>
      <c r="DK22" s="53">
        <f t="shared" si="9"/>
        <v>6</v>
      </c>
    </row>
    <row r="23" spans="1:115" x14ac:dyDescent="0.35">
      <c r="A23" s="56"/>
      <c r="B23" s="57" t="s">
        <v>34</v>
      </c>
      <c r="C23" s="58">
        <v>8</v>
      </c>
      <c r="D23" s="57">
        <v>1887</v>
      </c>
      <c r="E23" s="59">
        <v>100844231</v>
      </c>
      <c r="F23" s="60" t="s">
        <v>45</v>
      </c>
      <c r="G23" s="61">
        <v>2</v>
      </c>
      <c r="H23" s="61"/>
      <c r="I23" s="62"/>
      <c r="J23" s="62"/>
      <c r="K23" s="62"/>
      <c r="L23" s="62"/>
      <c r="M23" s="63"/>
      <c r="N23" s="63"/>
      <c r="O23" s="63"/>
      <c r="P23" s="63"/>
      <c r="Q23" s="62"/>
      <c r="R23" s="62"/>
      <c r="S23" s="62"/>
      <c r="T23" s="62"/>
      <c r="U23" s="62"/>
      <c r="V23" s="62"/>
      <c r="W23" s="62"/>
      <c r="X23" s="63"/>
      <c r="Y23" s="63">
        <f t="shared" si="0"/>
        <v>0</v>
      </c>
      <c r="Z23" s="63"/>
      <c r="AA23" s="62"/>
      <c r="AB23" s="63"/>
      <c r="AC23" s="63"/>
      <c r="AD23" s="63"/>
      <c r="AE23" s="63">
        <v>2</v>
      </c>
      <c r="AF23" s="62"/>
      <c r="AG23" s="63"/>
      <c r="AH23" s="62"/>
      <c r="AI23" s="62"/>
      <c r="AJ23" s="62"/>
      <c r="AK23" s="62"/>
      <c r="AL23" s="62"/>
      <c r="AM23" s="62"/>
      <c r="AN23" s="62"/>
      <c r="AO23" s="63"/>
      <c r="AP23" s="63">
        <f t="shared" si="1"/>
        <v>2</v>
      </c>
      <c r="AQ23" s="62"/>
      <c r="AR23" s="62"/>
      <c r="AS23" s="63"/>
      <c r="AT23" s="62"/>
      <c r="AU23" s="62"/>
      <c r="AV23" s="62"/>
      <c r="AW23" s="62"/>
      <c r="AX23" s="62">
        <v>2</v>
      </c>
      <c r="AY23" s="63"/>
      <c r="AZ23" s="63">
        <v>2</v>
      </c>
      <c r="BA23" s="62"/>
      <c r="BB23" s="62"/>
      <c r="BC23" s="62"/>
      <c r="BD23" s="62"/>
      <c r="BE23" s="62"/>
      <c r="BF23" s="62"/>
      <c r="BG23" s="63">
        <f t="shared" si="2"/>
        <v>4</v>
      </c>
      <c r="BH23" s="63"/>
      <c r="BI23" s="63"/>
      <c r="BJ23" s="62">
        <v>2</v>
      </c>
      <c r="BK23" s="62"/>
      <c r="BL23" s="63"/>
      <c r="BM23" s="62"/>
      <c r="BN23" s="62"/>
      <c r="BO23" s="62"/>
      <c r="BP23" s="62"/>
      <c r="BQ23" s="63"/>
      <c r="BR23" s="62"/>
      <c r="BS23" s="62"/>
      <c r="BT23" s="62"/>
      <c r="BU23" s="62"/>
      <c r="BV23" s="62"/>
      <c r="BW23" s="62"/>
      <c r="BX23" s="63">
        <f t="shared" si="3"/>
        <v>2</v>
      </c>
      <c r="BY23" s="63"/>
      <c r="BZ23" s="62"/>
      <c r="CA23" s="62"/>
      <c r="CB23" s="62"/>
      <c r="CC23" s="62"/>
      <c r="CD23" s="62"/>
      <c r="CE23" s="62"/>
      <c r="CF23" s="62"/>
      <c r="CG23" s="62"/>
      <c r="CH23" s="62"/>
      <c r="CI23" s="63"/>
      <c r="CJ23" s="62"/>
      <c r="CK23" s="62"/>
      <c r="CL23" s="62"/>
      <c r="CM23" s="62"/>
      <c r="CN23" s="62"/>
      <c r="CO23" s="63">
        <f t="shared" si="4"/>
        <v>0</v>
      </c>
      <c r="CP23" s="62"/>
      <c r="CQ23" s="62"/>
      <c r="CR23" s="62"/>
      <c r="CS23" s="63"/>
      <c r="CT23" s="63"/>
      <c r="CU23" s="63"/>
      <c r="CV23" s="62"/>
      <c r="CW23" s="62"/>
      <c r="CX23" s="62"/>
      <c r="CY23" s="62"/>
      <c r="CZ23" s="62"/>
      <c r="DA23" s="62"/>
      <c r="DB23" s="62"/>
      <c r="DC23" s="62"/>
      <c r="DD23" s="62"/>
      <c r="DE23" s="63"/>
      <c r="DF23" s="62">
        <f t="shared" si="5"/>
        <v>0</v>
      </c>
      <c r="DG23" s="63"/>
      <c r="DH23" s="63">
        <f t="shared" si="6"/>
        <v>8</v>
      </c>
      <c r="DI23" s="63">
        <f t="shared" si="7"/>
        <v>0</v>
      </c>
      <c r="DJ23" s="62">
        <f t="shared" si="8"/>
        <v>2</v>
      </c>
      <c r="DK23" s="62">
        <f t="shared" si="9"/>
        <v>6</v>
      </c>
    </row>
    <row r="24" spans="1:115" x14ac:dyDescent="0.35">
      <c r="A24" s="45"/>
      <c r="B24" s="46" t="s">
        <v>65</v>
      </c>
      <c r="C24" s="47">
        <v>7</v>
      </c>
      <c r="D24" s="48">
        <v>903</v>
      </c>
      <c r="E24" s="49">
        <v>100846315</v>
      </c>
      <c r="F24" s="50" t="s">
        <v>69</v>
      </c>
      <c r="G24" s="51">
        <v>2</v>
      </c>
      <c r="H24" s="51"/>
      <c r="I24" s="52"/>
      <c r="J24" s="53"/>
      <c r="K24" s="53"/>
      <c r="L24" s="53"/>
      <c r="M24" s="54"/>
      <c r="N24" s="54"/>
      <c r="O24" s="54"/>
      <c r="P24" s="54"/>
      <c r="Q24" s="53"/>
      <c r="R24" s="53"/>
      <c r="S24" s="53"/>
      <c r="T24" s="53"/>
      <c r="U24" s="53"/>
      <c r="V24" s="55"/>
      <c r="W24" s="55"/>
      <c r="X24" s="54"/>
      <c r="Y24" s="54">
        <f t="shared" si="0"/>
        <v>0</v>
      </c>
      <c r="Z24" s="54"/>
      <c r="AA24" s="53"/>
      <c r="AB24" s="54"/>
      <c r="AC24" s="54">
        <v>2</v>
      </c>
      <c r="AD24" s="54"/>
      <c r="AE24" s="54">
        <v>2</v>
      </c>
      <c r="AF24" s="53"/>
      <c r="AG24" s="54"/>
      <c r="AH24" s="53"/>
      <c r="AI24" s="53"/>
      <c r="AJ24" s="53"/>
      <c r="AK24" s="53"/>
      <c r="AL24" s="53"/>
      <c r="AM24" s="55"/>
      <c r="AN24" s="55"/>
      <c r="AO24" s="54"/>
      <c r="AP24" s="54">
        <f t="shared" si="1"/>
        <v>4</v>
      </c>
      <c r="AQ24" s="55"/>
      <c r="AR24" s="53"/>
      <c r="AS24" s="54"/>
      <c r="AT24" s="53"/>
      <c r="AU24" s="53"/>
      <c r="AV24" s="53"/>
      <c r="AW24" s="53"/>
      <c r="AX24" s="53">
        <v>2</v>
      </c>
      <c r="AY24" s="54">
        <v>2</v>
      </c>
      <c r="AZ24" s="54">
        <v>2</v>
      </c>
      <c r="BA24" s="53"/>
      <c r="BB24" s="53"/>
      <c r="BC24" s="53"/>
      <c r="BD24" s="53"/>
      <c r="BE24" s="55"/>
      <c r="BF24" s="55"/>
      <c r="BG24" s="54">
        <f t="shared" si="2"/>
        <v>6</v>
      </c>
      <c r="BH24" s="54"/>
      <c r="BI24" s="54"/>
      <c r="BJ24" s="53"/>
      <c r="BK24" s="53"/>
      <c r="BL24" s="54"/>
      <c r="BM24" s="53"/>
      <c r="BN24" s="53"/>
      <c r="BO24" s="53"/>
      <c r="BP24" s="53"/>
      <c r="BQ24" s="54"/>
      <c r="BR24" s="53"/>
      <c r="BS24" s="53"/>
      <c r="BT24" s="53"/>
      <c r="BU24" s="53"/>
      <c r="BV24" s="55"/>
      <c r="BW24" s="55"/>
      <c r="BX24" s="54">
        <f t="shared" si="3"/>
        <v>0</v>
      </c>
      <c r="BY24" s="54"/>
      <c r="BZ24" s="53"/>
      <c r="CA24" s="53"/>
      <c r="CB24" s="53"/>
      <c r="CC24" s="53"/>
      <c r="CD24" s="53"/>
      <c r="CE24" s="53"/>
      <c r="CF24" s="53"/>
      <c r="CG24" s="53"/>
      <c r="CH24" s="53"/>
      <c r="CI24" s="54"/>
      <c r="CJ24" s="53"/>
      <c r="CK24" s="53"/>
      <c r="CL24" s="53"/>
      <c r="CM24" s="55"/>
      <c r="CN24" s="55"/>
      <c r="CO24" s="54">
        <f t="shared" si="4"/>
        <v>0</v>
      </c>
      <c r="CP24" s="55"/>
      <c r="CQ24" s="53"/>
      <c r="CR24" s="53"/>
      <c r="CS24" s="54"/>
      <c r="CT24" s="54"/>
      <c r="CU24" s="54"/>
      <c r="CV24" s="53"/>
      <c r="CW24" s="53"/>
      <c r="CX24" s="53"/>
      <c r="CY24" s="53"/>
      <c r="CZ24" s="53"/>
      <c r="DA24" s="53"/>
      <c r="DB24" s="53"/>
      <c r="DC24" s="55"/>
      <c r="DD24" s="55"/>
      <c r="DE24" s="54"/>
      <c r="DF24" s="55">
        <f t="shared" si="5"/>
        <v>0</v>
      </c>
      <c r="DG24" s="54"/>
      <c r="DH24" s="54">
        <f t="shared" si="6"/>
        <v>10</v>
      </c>
      <c r="DI24" s="54">
        <f t="shared" si="7"/>
        <v>0</v>
      </c>
      <c r="DJ24" s="53">
        <f t="shared" si="8"/>
        <v>2</v>
      </c>
      <c r="DK24" s="53">
        <f t="shared" si="9"/>
        <v>8</v>
      </c>
    </row>
    <row r="25" spans="1:115" x14ac:dyDescent="0.35">
      <c r="A25" s="56"/>
      <c r="B25" s="57" t="s">
        <v>34</v>
      </c>
      <c r="C25" s="58">
        <v>10</v>
      </c>
      <c r="D25" s="57">
        <v>1695</v>
      </c>
      <c r="E25" s="59">
        <v>100843196</v>
      </c>
      <c r="F25" s="60" t="s">
        <v>48</v>
      </c>
      <c r="G25" s="61">
        <v>2</v>
      </c>
      <c r="H25" s="61"/>
      <c r="I25" s="62"/>
      <c r="J25" s="62"/>
      <c r="K25" s="62"/>
      <c r="L25" s="62"/>
      <c r="M25" s="63"/>
      <c r="N25" s="63"/>
      <c r="O25" s="63"/>
      <c r="P25" s="63"/>
      <c r="Q25" s="62"/>
      <c r="R25" s="62"/>
      <c r="S25" s="62"/>
      <c r="T25" s="62"/>
      <c r="U25" s="62"/>
      <c r="V25" s="62"/>
      <c r="W25" s="62"/>
      <c r="X25" s="63"/>
      <c r="Y25" s="63">
        <f t="shared" si="0"/>
        <v>0</v>
      </c>
      <c r="Z25" s="63"/>
      <c r="AA25" s="62"/>
      <c r="AB25" s="63"/>
      <c r="AC25" s="63"/>
      <c r="AD25" s="63"/>
      <c r="AE25" s="63">
        <v>2</v>
      </c>
      <c r="AF25" s="62"/>
      <c r="AG25" s="63"/>
      <c r="AH25" s="62"/>
      <c r="AI25" s="62"/>
      <c r="AJ25" s="62"/>
      <c r="AK25" s="62"/>
      <c r="AL25" s="62"/>
      <c r="AM25" s="62"/>
      <c r="AN25" s="62"/>
      <c r="AO25" s="63"/>
      <c r="AP25" s="63">
        <f t="shared" si="1"/>
        <v>2</v>
      </c>
      <c r="AQ25" s="62"/>
      <c r="AR25" s="62"/>
      <c r="AS25" s="63"/>
      <c r="AT25" s="62"/>
      <c r="AU25" s="62"/>
      <c r="AV25" s="62"/>
      <c r="AW25" s="62"/>
      <c r="AX25" s="62"/>
      <c r="AY25" s="63"/>
      <c r="AZ25" s="63">
        <v>2</v>
      </c>
      <c r="BA25" s="62"/>
      <c r="BB25" s="62"/>
      <c r="BC25" s="62"/>
      <c r="BD25" s="62"/>
      <c r="BE25" s="62"/>
      <c r="BF25" s="62"/>
      <c r="BG25" s="63">
        <f t="shared" si="2"/>
        <v>2</v>
      </c>
      <c r="BH25" s="63"/>
      <c r="BI25" s="63"/>
      <c r="BJ25" s="62"/>
      <c r="BK25" s="62"/>
      <c r="BL25" s="63"/>
      <c r="BM25" s="62"/>
      <c r="BN25" s="62"/>
      <c r="BO25" s="62"/>
      <c r="BP25" s="62"/>
      <c r="BQ25" s="63"/>
      <c r="BR25" s="62"/>
      <c r="BS25" s="62"/>
      <c r="BT25" s="62"/>
      <c r="BU25" s="62"/>
      <c r="BV25" s="62"/>
      <c r="BW25" s="62"/>
      <c r="BX25" s="63">
        <f t="shared" si="3"/>
        <v>0</v>
      </c>
      <c r="BY25" s="63"/>
      <c r="BZ25" s="62"/>
      <c r="CA25" s="62"/>
      <c r="CB25" s="62"/>
      <c r="CC25" s="62"/>
      <c r="CD25" s="62"/>
      <c r="CE25" s="62"/>
      <c r="CF25" s="62"/>
      <c r="CG25" s="62"/>
      <c r="CH25" s="62"/>
      <c r="CI25" s="63"/>
      <c r="CJ25" s="62"/>
      <c r="CK25" s="62"/>
      <c r="CL25" s="62"/>
      <c r="CM25" s="62"/>
      <c r="CN25" s="62"/>
      <c r="CO25" s="63">
        <f t="shared" si="4"/>
        <v>0</v>
      </c>
      <c r="CP25" s="62"/>
      <c r="CQ25" s="62"/>
      <c r="CR25" s="62"/>
      <c r="CS25" s="63"/>
      <c r="CT25" s="63"/>
      <c r="CU25" s="63"/>
      <c r="CV25" s="62"/>
      <c r="CW25" s="62"/>
      <c r="CX25" s="62"/>
      <c r="CY25" s="62"/>
      <c r="CZ25" s="62"/>
      <c r="DA25" s="62"/>
      <c r="DB25" s="62"/>
      <c r="DC25" s="62"/>
      <c r="DD25" s="62"/>
      <c r="DE25" s="63"/>
      <c r="DF25" s="62">
        <f t="shared" si="5"/>
        <v>0</v>
      </c>
      <c r="DG25" s="63"/>
      <c r="DH25" s="63">
        <f t="shared" si="6"/>
        <v>4</v>
      </c>
      <c r="DI25" s="63">
        <f t="shared" si="7"/>
        <v>0</v>
      </c>
      <c r="DJ25" s="62">
        <f t="shared" si="8"/>
        <v>2</v>
      </c>
      <c r="DK25" s="62">
        <f t="shared" si="9"/>
        <v>2</v>
      </c>
    </row>
    <row r="26" spans="1:115" x14ac:dyDescent="0.35">
      <c r="A26" s="45"/>
      <c r="B26" s="46" t="s">
        <v>57</v>
      </c>
      <c r="C26" s="47">
        <v>6</v>
      </c>
      <c r="D26" s="48">
        <v>9729</v>
      </c>
      <c r="E26" s="49">
        <v>100846537</v>
      </c>
      <c r="F26" s="50" t="s">
        <v>60</v>
      </c>
      <c r="G26" s="51">
        <v>2</v>
      </c>
      <c r="H26" s="51"/>
      <c r="I26" s="52"/>
      <c r="J26" s="53"/>
      <c r="K26" s="53"/>
      <c r="L26" s="53"/>
      <c r="M26" s="54"/>
      <c r="N26" s="54"/>
      <c r="O26" s="54"/>
      <c r="P26" s="54"/>
      <c r="Q26" s="53"/>
      <c r="R26" s="53"/>
      <c r="S26" s="53"/>
      <c r="T26" s="53"/>
      <c r="U26" s="53"/>
      <c r="V26" s="55"/>
      <c r="W26" s="55"/>
      <c r="X26" s="54"/>
      <c r="Y26" s="54">
        <f t="shared" si="0"/>
        <v>0</v>
      </c>
      <c r="Z26" s="54"/>
      <c r="AA26" s="53"/>
      <c r="AB26" s="54">
        <v>2</v>
      </c>
      <c r="AC26" s="54">
        <v>2</v>
      </c>
      <c r="AD26" s="54"/>
      <c r="AE26" s="54">
        <v>2</v>
      </c>
      <c r="AF26" s="53"/>
      <c r="AG26" s="54"/>
      <c r="AH26" s="53">
        <v>2</v>
      </c>
      <c r="AI26" s="53">
        <v>2</v>
      </c>
      <c r="AJ26" s="53"/>
      <c r="AK26" s="53"/>
      <c r="AL26" s="53"/>
      <c r="AM26" s="55"/>
      <c r="AN26" s="55"/>
      <c r="AO26" s="54"/>
      <c r="AP26" s="54">
        <f t="shared" si="1"/>
        <v>10</v>
      </c>
      <c r="AQ26" s="55"/>
      <c r="AR26" s="53"/>
      <c r="AS26" s="54">
        <v>2</v>
      </c>
      <c r="AT26" s="53"/>
      <c r="AU26" s="53">
        <v>2</v>
      </c>
      <c r="AV26" s="53"/>
      <c r="AW26" s="53"/>
      <c r="AX26" s="53">
        <v>2</v>
      </c>
      <c r="AY26" s="54">
        <v>2</v>
      </c>
      <c r="AZ26" s="54">
        <v>2</v>
      </c>
      <c r="BA26" s="53"/>
      <c r="BB26" s="53"/>
      <c r="BC26" s="53"/>
      <c r="BD26" s="53"/>
      <c r="BE26" s="55"/>
      <c r="BF26" s="55"/>
      <c r="BG26" s="54">
        <f t="shared" si="2"/>
        <v>10</v>
      </c>
      <c r="BH26" s="54"/>
      <c r="BI26" s="54"/>
      <c r="BJ26" s="53">
        <v>2</v>
      </c>
      <c r="BK26" s="53"/>
      <c r="BL26" s="54"/>
      <c r="BM26" s="53"/>
      <c r="BN26" s="53"/>
      <c r="BO26" s="53"/>
      <c r="BP26" s="53"/>
      <c r="BQ26" s="54"/>
      <c r="BR26" s="53"/>
      <c r="BS26" s="53"/>
      <c r="BT26" s="53"/>
      <c r="BU26" s="53"/>
      <c r="BV26" s="55"/>
      <c r="BW26" s="55"/>
      <c r="BX26" s="54">
        <f t="shared" si="3"/>
        <v>2</v>
      </c>
      <c r="BY26" s="54"/>
      <c r="BZ26" s="53"/>
      <c r="CA26" s="53"/>
      <c r="CB26" s="53"/>
      <c r="CC26" s="53"/>
      <c r="CD26" s="53"/>
      <c r="CE26" s="53"/>
      <c r="CF26" s="53"/>
      <c r="CG26" s="53"/>
      <c r="CH26" s="53"/>
      <c r="CI26" s="54"/>
      <c r="CJ26" s="53"/>
      <c r="CK26" s="53"/>
      <c r="CL26" s="53"/>
      <c r="CM26" s="55"/>
      <c r="CN26" s="55"/>
      <c r="CO26" s="54">
        <f t="shared" si="4"/>
        <v>0</v>
      </c>
      <c r="CP26" s="55"/>
      <c r="CQ26" s="53"/>
      <c r="CR26" s="53"/>
      <c r="CS26" s="54"/>
      <c r="CT26" s="54"/>
      <c r="CU26" s="54"/>
      <c r="CV26" s="53"/>
      <c r="CW26" s="53"/>
      <c r="CX26" s="53"/>
      <c r="CY26" s="53"/>
      <c r="CZ26" s="53"/>
      <c r="DA26" s="53"/>
      <c r="DB26" s="53"/>
      <c r="DC26" s="55"/>
      <c r="DD26" s="55"/>
      <c r="DE26" s="54"/>
      <c r="DF26" s="55">
        <f t="shared" si="5"/>
        <v>0</v>
      </c>
      <c r="DG26" s="54"/>
      <c r="DH26" s="54">
        <f t="shared" si="6"/>
        <v>22</v>
      </c>
      <c r="DI26" s="54">
        <f t="shared" si="7"/>
        <v>0</v>
      </c>
      <c r="DJ26" s="53">
        <f t="shared" si="8"/>
        <v>2</v>
      </c>
      <c r="DK26" s="53">
        <f t="shared" si="9"/>
        <v>20</v>
      </c>
    </row>
    <row r="27" spans="1:115" x14ac:dyDescent="0.35">
      <c r="A27" s="56"/>
      <c r="B27" s="57" t="s">
        <v>65</v>
      </c>
      <c r="C27" s="58">
        <v>9</v>
      </c>
      <c r="D27" s="57">
        <v>778</v>
      </c>
      <c r="E27" s="59">
        <v>100844255</v>
      </c>
      <c r="F27" s="60" t="s">
        <v>70</v>
      </c>
      <c r="G27" s="61">
        <v>2</v>
      </c>
      <c r="H27" s="61"/>
      <c r="I27" s="62"/>
      <c r="J27" s="62"/>
      <c r="K27" s="62"/>
      <c r="L27" s="62"/>
      <c r="M27" s="63"/>
      <c r="N27" s="63"/>
      <c r="O27" s="63"/>
      <c r="P27" s="63"/>
      <c r="Q27" s="62"/>
      <c r="R27" s="62"/>
      <c r="S27" s="62"/>
      <c r="T27" s="62"/>
      <c r="U27" s="62"/>
      <c r="V27" s="62"/>
      <c r="W27" s="62"/>
      <c r="X27" s="63"/>
      <c r="Y27" s="63">
        <f t="shared" si="0"/>
        <v>0</v>
      </c>
      <c r="Z27" s="63"/>
      <c r="AA27" s="62"/>
      <c r="AB27" s="63"/>
      <c r="AC27" s="63">
        <v>2</v>
      </c>
      <c r="AD27" s="63"/>
      <c r="AE27" s="63">
        <v>2</v>
      </c>
      <c r="AF27" s="62">
        <v>2</v>
      </c>
      <c r="AG27" s="63">
        <v>2</v>
      </c>
      <c r="AH27" s="62"/>
      <c r="AI27" s="62"/>
      <c r="AJ27" s="62"/>
      <c r="AK27" s="62"/>
      <c r="AL27" s="62"/>
      <c r="AM27" s="62"/>
      <c r="AN27" s="62"/>
      <c r="AO27" s="63"/>
      <c r="AP27" s="63">
        <f t="shared" si="1"/>
        <v>8</v>
      </c>
      <c r="AQ27" s="62"/>
      <c r="AR27" s="62"/>
      <c r="AS27" s="63">
        <v>2</v>
      </c>
      <c r="AT27" s="62"/>
      <c r="AU27" s="62">
        <v>2</v>
      </c>
      <c r="AV27" s="62"/>
      <c r="AW27" s="62"/>
      <c r="AX27" s="62"/>
      <c r="AY27" s="63"/>
      <c r="AZ27" s="63">
        <v>2</v>
      </c>
      <c r="BA27" s="62"/>
      <c r="BB27" s="62"/>
      <c r="BC27" s="62"/>
      <c r="BD27" s="62"/>
      <c r="BE27" s="62"/>
      <c r="BF27" s="62"/>
      <c r="BG27" s="63">
        <f t="shared" si="2"/>
        <v>6</v>
      </c>
      <c r="BH27" s="63"/>
      <c r="BI27" s="63"/>
      <c r="BJ27" s="62"/>
      <c r="BK27" s="62"/>
      <c r="BL27" s="63"/>
      <c r="BM27" s="62"/>
      <c r="BN27" s="62"/>
      <c r="BO27" s="62"/>
      <c r="BP27" s="62"/>
      <c r="BQ27" s="63"/>
      <c r="BR27" s="62"/>
      <c r="BS27" s="62"/>
      <c r="BT27" s="62"/>
      <c r="BU27" s="62"/>
      <c r="BV27" s="62"/>
      <c r="BW27" s="62"/>
      <c r="BX27" s="63">
        <f t="shared" si="3"/>
        <v>0</v>
      </c>
      <c r="BY27" s="63"/>
      <c r="BZ27" s="62"/>
      <c r="CA27" s="62"/>
      <c r="CB27" s="62"/>
      <c r="CC27" s="62"/>
      <c r="CD27" s="62"/>
      <c r="CE27" s="62"/>
      <c r="CF27" s="62"/>
      <c r="CG27" s="62"/>
      <c r="CH27" s="62"/>
      <c r="CI27" s="63"/>
      <c r="CJ27" s="62"/>
      <c r="CK27" s="62"/>
      <c r="CL27" s="62"/>
      <c r="CM27" s="62"/>
      <c r="CN27" s="62"/>
      <c r="CO27" s="63">
        <f t="shared" si="4"/>
        <v>0</v>
      </c>
      <c r="CP27" s="62"/>
      <c r="CQ27" s="62"/>
      <c r="CR27" s="62"/>
      <c r="CS27" s="63"/>
      <c r="CT27" s="63"/>
      <c r="CU27" s="63"/>
      <c r="CV27" s="62"/>
      <c r="CW27" s="62"/>
      <c r="CX27" s="62"/>
      <c r="CY27" s="62"/>
      <c r="CZ27" s="62"/>
      <c r="DA27" s="62"/>
      <c r="DB27" s="62"/>
      <c r="DC27" s="62"/>
      <c r="DD27" s="62"/>
      <c r="DE27" s="63"/>
      <c r="DF27" s="62">
        <f t="shared" si="5"/>
        <v>0</v>
      </c>
      <c r="DG27" s="63"/>
      <c r="DH27" s="63">
        <f t="shared" si="6"/>
        <v>14</v>
      </c>
      <c r="DI27" s="63">
        <f t="shared" si="7"/>
        <v>0</v>
      </c>
      <c r="DJ27" s="62">
        <f t="shared" si="8"/>
        <v>2</v>
      </c>
      <c r="DK27" s="62">
        <f t="shared" si="9"/>
        <v>12</v>
      </c>
    </row>
    <row r="28" spans="1:115" x14ac:dyDescent="0.35">
      <c r="A28" s="45"/>
      <c r="B28" s="46" t="s">
        <v>32</v>
      </c>
      <c r="C28" s="47">
        <v>7</v>
      </c>
      <c r="D28" s="48">
        <v>1828</v>
      </c>
      <c r="E28" s="49">
        <v>100844650</v>
      </c>
      <c r="F28" s="50" t="s">
        <v>39</v>
      </c>
      <c r="G28" s="51">
        <v>2</v>
      </c>
      <c r="H28" s="51"/>
      <c r="I28" s="52"/>
      <c r="J28" s="53"/>
      <c r="K28" s="53"/>
      <c r="L28" s="53"/>
      <c r="M28" s="54"/>
      <c r="N28" s="54"/>
      <c r="O28" s="54"/>
      <c r="P28" s="54"/>
      <c r="Q28" s="53"/>
      <c r="R28" s="53"/>
      <c r="S28" s="53"/>
      <c r="T28" s="53"/>
      <c r="U28" s="53"/>
      <c r="V28" s="55"/>
      <c r="W28" s="55"/>
      <c r="X28" s="54"/>
      <c r="Y28" s="54">
        <f t="shared" si="0"/>
        <v>0</v>
      </c>
      <c r="Z28" s="54"/>
      <c r="AA28" s="53"/>
      <c r="AB28" s="54"/>
      <c r="AC28" s="54"/>
      <c r="AD28" s="54"/>
      <c r="AE28" s="54">
        <v>2</v>
      </c>
      <c r="AF28" s="53"/>
      <c r="AG28" s="54"/>
      <c r="AH28" s="53"/>
      <c r="AI28" s="53"/>
      <c r="AJ28" s="53"/>
      <c r="AK28" s="53"/>
      <c r="AL28" s="53"/>
      <c r="AM28" s="55"/>
      <c r="AN28" s="55"/>
      <c r="AO28" s="54"/>
      <c r="AP28" s="54">
        <f t="shared" si="1"/>
        <v>2</v>
      </c>
      <c r="AQ28" s="55"/>
      <c r="AR28" s="53"/>
      <c r="AS28" s="54"/>
      <c r="AT28" s="53"/>
      <c r="AU28" s="53"/>
      <c r="AV28" s="53"/>
      <c r="AW28" s="53"/>
      <c r="AX28" s="53"/>
      <c r="AY28" s="54">
        <v>2</v>
      </c>
      <c r="AZ28" s="54">
        <v>2</v>
      </c>
      <c r="BA28" s="53"/>
      <c r="BB28" s="53"/>
      <c r="BC28" s="53"/>
      <c r="BD28" s="53"/>
      <c r="BE28" s="55"/>
      <c r="BF28" s="55"/>
      <c r="BG28" s="54">
        <f t="shared" si="2"/>
        <v>4</v>
      </c>
      <c r="BH28" s="54"/>
      <c r="BI28" s="54"/>
      <c r="BJ28" s="53"/>
      <c r="BK28" s="53"/>
      <c r="BL28" s="54"/>
      <c r="BM28" s="53"/>
      <c r="BN28" s="53"/>
      <c r="BO28" s="53"/>
      <c r="BP28" s="53"/>
      <c r="BQ28" s="54"/>
      <c r="BR28" s="53"/>
      <c r="BS28" s="53"/>
      <c r="BT28" s="53"/>
      <c r="BU28" s="53"/>
      <c r="BV28" s="55"/>
      <c r="BW28" s="55"/>
      <c r="BX28" s="54">
        <f t="shared" si="3"/>
        <v>0</v>
      </c>
      <c r="BY28" s="54"/>
      <c r="BZ28" s="53"/>
      <c r="CA28" s="53"/>
      <c r="CB28" s="53"/>
      <c r="CC28" s="53"/>
      <c r="CD28" s="53"/>
      <c r="CE28" s="53"/>
      <c r="CF28" s="53"/>
      <c r="CG28" s="53"/>
      <c r="CH28" s="53"/>
      <c r="CI28" s="54"/>
      <c r="CJ28" s="53"/>
      <c r="CK28" s="53"/>
      <c r="CL28" s="53"/>
      <c r="CM28" s="55"/>
      <c r="CN28" s="55"/>
      <c r="CO28" s="54">
        <f t="shared" si="4"/>
        <v>0</v>
      </c>
      <c r="CP28" s="55"/>
      <c r="CQ28" s="53"/>
      <c r="CR28" s="53"/>
      <c r="CS28" s="54"/>
      <c r="CT28" s="54"/>
      <c r="CU28" s="54"/>
      <c r="CV28" s="53"/>
      <c r="CW28" s="53"/>
      <c r="CX28" s="53"/>
      <c r="CY28" s="53"/>
      <c r="CZ28" s="53"/>
      <c r="DA28" s="53"/>
      <c r="DB28" s="53"/>
      <c r="DC28" s="55"/>
      <c r="DD28" s="55"/>
      <c r="DE28" s="54"/>
      <c r="DF28" s="55">
        <f t="shared" si="5"/>
        <v>0</v>
      </c>
      <c r="DG28" s="54"/>
      <c r="DH28" s="54">
        <f t="shared" si="6"/>
        <v>6</v>
      </c>
      <c r="DI28" s="54">
        <f t="shared" si="7"/>
        <v>0</v>
      </c>
      <c r="DJ28" s="53">
        <f t="shared" si="8"/>
        <v>2</v>
      </c>
      <c r="DK28" s="53">
        <f t="shared" si="9"/>
        <v>4</v>
      </c>
    </row>
    <row r="29" spans="1:115" x14ac:dyDescent="0.35">
      <c r="A29" s="56"/>
      <c r="B29" s="57" t="s">
        <v>32</v>
      </c>
      <c r="C29" s="58">
        <v>8</v>
      </c>
      <c r="D29" s="57">
        <v>1764</v>
      </c>
      <c r="E29" s="59">
        <v>100846249</v>
      </c>
      <c r="F29" s="60" t="s">
        <v>41</v>
      </c>
      <c r="G29" s="61">
        <v>2</v>
      </c>
      <c r="H29" s="61"/>
      <c r="I29" s="62"/>
      <c r="J29" s="62"/>
      <c r="K29" s="62"/>
      <c r="L29" s="62"/>
      <c r="M29" s="63"/>
      <c r="N29" s="63"/>
      <c r="O29" s="63"/>
      <c r="P29" s="63"/>
      <c r="Q29" s="62"/>
      <c r="R29" s="62"/>
      <c r="S29" s="62"/>
      <c r="T29" s="62"/>
      <c r="U29" s="62"/>
      <c r="V29" s="62"/>
      <c r="W29" s="62"/>
      <c r="X29" s="63"/>
      <c r="Y29" s="63">
        <f t="shared" si="0"/>
        <v>0</v>
      </c>
      <c r="Z29" s="63"/>
      <c r="AA29" s="62"/>
      <c r="AB29" s="63"/>
      <c r="AC29" s="63"/>
      <c r="AD29" s="63"/>
      <c r="AE29" s="63">
        <v>2</v>
      </c>
      <c r="AF29" s="62"/>
      <c r="AG29" s="63">
        <v>2</v>
      </c>
      <c r="AH29" s="62"/>
      <c r="AI29" s="62"/>
      <c r="AJ29" s="62"/>
      <c r="AK29" s="62"/>
      <c r="AL29" s="62"/>
      <c r="AM29" s="62"/>
      <c r="AN29" s="62"/>
      <c r="AO29" s="63"/>
      <c r="AP29" s="63">
        <f t="shared" si="1"/>
        <v>4</v>
      </c>
      <c r="AQ29" s="62"/>
      <c r="AR29" s="62"/>
      <c r="AS29" s="63"/>
      <c r="AT29" s="62">
        <v>2</v>
      </c>
      <c r="AU29" s="62">
        <v>2</v>
      </c>
      <c r="AV29" s="62"/>
      <c r="AW29" s="62"/>
      <c r="AX29" s="62"/>
      <c r="AY29" s="63"/>
      <c r="AZ29" s="63">
        <v>2</v>
      </c>
      <c r="BA29" s="62"/>
      <c r="BB29" s="62"/>
      <c r="BC29" s="62"/>
      <c r="BD29" s="62"/>
      <c r="BE29" s="62"/>
      <c r="BF29" s="62"/>
      <c r="BG29" s="63">
        <f t="shared" si="2"/>
        <v>6</v>
      </c>
      <c r="BH29" s="63"/>
      <c r="BI29" s="63"/>
      <c r="BJ29" s="62"/>
      <c r="BK29" s="62"/>
      <c r="BL29" s="63"/>
      <c r="BM29" s="62"/>
      <c r="BN29" s="62"/>
      <c r="BO29" s="62"/>
      <c r="BP29" s="62"/>
      <c r="BQ29" s="63"/>
      <c r="BR29" s="62"/>
      <c r="BS29" s="62"/>
      <c r="BT29" s="62"/>
      <c r="BU29" s="62"/>
      <c r="BV29" s="62"/>
      <c r="BW29" s="62"/>
      <c r="BX29" s="63">
        <f t="shared" si="3"/>
        <v>0</v>
      </c>
      <c r="BY29" s="63"/>
      <c r="BZ29" s="62"/>
      <c r="CA29" s="62"/>
      <c r="CB29" s="62"/>
      <c r="CC29" s="62"/>
      <c r="CD29" s="62"/>
      <c r="CE29" s="62"/>
      <c r="CF29" s="62"/>
      <c r="CG29" s="62"/>
      <c r="CH29" s="62"/>
      <c r="CI29" s="63"/>
      <c r="CJ29" s="62"/>
      <c r="CK29" s="62"/>
      <c r="CL29" s="62"/>
      <c r="CM29" s="62"/>
      <c r="CN29" s="62"/>
      <c r="CO29" s="63">
        <f t="shared" si="4"/>
        <v>0</v>
      </c>
      <c r="CP29" s="62"/>
      <c r="CQ29" s="62"/>
      <c r="CR29" s="62"/>
      <c r="CS29" s="63"/>
      <c r="CT29" s="63"/>
      <c r="CU29" s="63"/>
      <c r="CV29" s="62"/>
      <c r="CW29" s="62"/>
      <c r="CX29" s="62"/>
      <c r="CY29" s="62"/>
      <c r="CZ29" s="62"/>
      <c r="DA29" s="62"/>
      <c r="DB29" s="62"/>
      <c r="DC29" s="62"/>
      <c r="DD29" s="62"/>
      <c r="DE29" s="63"/>
      <c r="DF29" s="62">
        <f t="shared" si="5"/>
        <v>0</v>
      </c>
      <c r="DG29" s="63"/>
      <c r="DH29" s="63">
        <f t="shared" si="6"/>
        <v>10</v>
      </c>
      <c r="DI29" s="63">
        <f t="shared" si="7"/>
        <v>0</v>
      </c>
      <c r="DJ29" s="62">
        <f t="shared" si="8"/>
        <v>2</v>
      </c>
      <c r="DK29" s="62">
        <f t="shared" si="9"/>
        <v>8</v>
      </c>
    </row>
    <row r="30" spans="1:115" x14ac:dyDescent="0.35">
      <c r="A30" s="45"/>
      <c r="B30" s="46" t="s">
        <v>55</v>
      </c>
      <c r="C30" s="47">
        <v>4</v>
      </c>
      <c r="D30" s="48">
        <v>9733</v>
      </c>
      <c r="E30" s="49">
        <v>100846087</v>
      </c>
      <c r="F30" s="50" t="s">
        <v>56</v>
      </c>
      <c r="G30" s="51">
        <v>2</v>
      </c>
      <c r="H30" s="51"/>
      <c r="I30" s="52"/>
      <c r="J30" s="53"/>
      <c r="K30" s="53"/>
      <c r="L30" s="53"/>
      <c r="M30" s="54"/>
      <c r="N30" s="54"/>
      <c r="O30" s="54"/>
      <c r="P30" s="54"/>
      <c r="Q30" s="53"/>
      <c r="R30" s="53"/>
      <c r="S30" s="53"/>
      <c r="T30" s="53"/>
      <c r="U30" s="53"/>
      <c r="V30" s="55"/>
      <c r="W30" s="55"/>
      <c r="X30" s="54"/>
      <c r="Y30" s="54">
        <f t="shared" si="0"/>
        <v>0</v>
      </c>
      <c r="Z30" s="54"/>
      <c r="AA30" s="53"/>
      <c r="AB30" s="54"/>
      <c r="AC30" s="54">
        <v>2</v>
      </c>
      <c r="AD30" s="54"/>
      <c r="AE30" s="54">
        <v>2</v>
      </c>
      <c r="AF30" s="53"/>
      <c r="AG30" s="54"/>
      <c r="AH30" s="53"/>
      <c r="AI30" s="53"/>
      <c r="AJ30" s="53"/>
      <c r="AK30" s="53"/>
      <c r="AL30" s="53"/>
      <c r="AM30" s="55"/>
      <c r="AN30" s="55"/>
      <c r="AO30" s="54"/>
      <c r="AP30" s="54">
        <f t="shared" si="1"/>
        <v>4</v>
      </c>
      <c r="AQ30" s="55"/>
      <c r="AR30" s="53"/>
      <c r="AS30" s="54"/>
      <c r="AT30" s="53">
        <v>2</v>
      </c>
      <c r="AU30" s="53"/>
      <c r="AV30" s="53"/>
      <c r="AW30" s="53"/>
      <c r="AX30" s="53"/>
      <c r="AY30" s="54">
        <v>2</v>
      </c>
      <c r="AZ30" s="54">
        <v>2</v>
      </c>
      <c r="BA30" s="53"/>
      <c r="BB30" s="53"/>
      <c r="BC30" s="53"/>
      <c r="BD30" s="53"/>
      <c r="BE30" s="55"/>
      <c r="BF30" s="55"/>
      <c r="BG30" s="54">
        <f t="shared" si="2"/>
        <v>6</v>
      </c>
      <c r="BH30" s="54"/>
      <c r="BI30" s="54"/>
      <c r="BJ30" s="53"/>
      <c r="BK30" s="53"/>
      <c r="BL30" s="54"/>
      <c r="BM30" s="53"/>
      <c r="BN30" s="53"/>
      <c r="BO30" s="53"/>
      <c r="BP30" s="53"/>
      <c r="BQ30" s="54"/>
      <c r="BR30" s="53"/>
      <c r="BS30" s="53"/>
      <c r="BT30" s="53"/>
      <c r="BU30" s="53"/>
      <c r="BV30" s="55"/>
      <c r="BW30" s="55"/>
      <c r="BX30" s="54">
        <f t="shared" si="3"/>
        <v>0</v>
      </c>
      <c r="BY30" s="54"/>
      <c r="BZ30" s="53"/>
      <c r="CA30" s="53"/>
      <c r="CB30" s="53"/>
      <c r="CC30" s="53"/>
      <c r="CD30" s="53"/>
      <c r="CE30" s="53"/>
      <c r="CF30" s="53"/>
      <c r="CG30" s="53"/>
      <c r="CH30" s="53"/>
      <c r="CI30" s="54"/>
      <c r="CJ30" s="53"/>
      <c r="CK30" s="53"/>
      <c r="CL30" s="53"/>
      <c r="CM30" s="55"/>
      <c r="CN30" s="55"/>
      <c r="CO30" s="54">
        <f t="shared" si="4"/>
        <v>0</v>
      </c>
      <c r="CP30" s="55"/>
      <c r="CQ30" s="53"/>
      <c r="CR30" s="53"/>
      <c r="CS30" s="54"/>
      <c r="CT30" s="54"/>
      <c r="CU30" s="54"/>
      <c r="CV30" s="53"/>
      <c r="CW30" s="53"/>
      <c r="CX30" s="53"/>
      <c r="CY30" s="53"/>
      <c r="CZ30" s="53"/>
      <c r="DA30" s="53"/>
      <c r="DB30" s="53"/>
      <c r="DC30" s="55"/>
      <c r="DD30" s="55"/>
      <c r="DE30" s="54"/>
      <c r="DF30" s="55">
        <f t="shared" si="5"/>
        <v>0</v>
      </c>
      <c r="DG30" s="54"/>
      <c r="DH30" s="54">
        <f t="shared" si="6"/>
        <v>10</v>
      </c>
      <c r="DI30" s="54">
        <f t="shared" si="7"/>
        <v>0</v>
      </c>
      <c r="DJ30" s="53">
        <f t="shared" si="8"/>
        <v>2</v>
      </c>
      <c r="DK30" s="53">
        <f t="shared" si="9"/>
        <v>8</v>
      </c>
    </row>
    <row r="31" spans="1:115" x14ac:dyDescent="0.35">
      <c r="A31" s="56"/>
      <c r="B31" s="57" t="s">
        <v>57</v>
      </c>
      <c r="C31" s="58">
        <v>5</v>
      </c>
      <c r="D31" s="57">
        <v>9764</v>
      </c>
      <c r="E31" s="59">
        <v>100845749</v>
      </c>
      <c r="F31" s="60" t="s">
        <v>58</v>
      </c>
      <c r="G31" s="61">
        <v>2</v>
      </c>
      <c r="H31" s="61"/>
      <c r="I31" s="62"/>
      <c r="J31" s="62"/>
      <c r="K31" s="62"/>
      <c r="L31" s="62"/>
      <c r="M31" s="63"/>
      <c r="N31" s="63"/>
      <c r="O31" s="63"/>
      <c r="P31" s="63"/>
      <c r="Q31" s="62"/>
      <c r="R31" s="62"/>
      <c r="S31" s="62"/>
      <c r="T31" s="62"/>
      <c r="U31" s="62"/>
      <c r="V31" s="62"/>
      <c r="W31" s="62"/>
      <c r="X31" s="63"/>
      <c r="Y31" s="63">
        <f t="shared" si="0"/>
        <v>0</v>
      </c>
      <c r="Z31" s="63"/>
      <c r="AA31" s="62"/>
      <c r="AB31" s="63"/>
      <c r="AC31" s="63"/>
      <c r="AD31" s="63"/>
      <c r="AE31" s="63">
        <v>2</v>
      </c>
      <c r="AF31" s="62"/>
      <c r="AG31" s="63">
        <v>2</v>
      </c>
      <c r="AH31" s="62"/>
      <c r="AI31" s="62"/>
      <c r="AJ31" s="62"/>
      <c r="AK31" s="62"/>
      <c r="AL31" s="62"/>
      <c r="AM31" s="62"/>
      <c r="AN31" s="62"/>
      <c r="AO31" s="63"/>
      <c r="AP31" s="63">
        <f t="shared" si="1"/>
        <v>4</v>
      </c>
      <c r="AQ31" s="62"/>
      <c r="AR31" s="62"/>
      <c r="AS31" s="63"/>
      <c r="AT31" s="62"/>
      <c r="AU31" s="62">
        <v>2</v>
      </c>
      <c r="AV31" s="62"/>
      <c r="AW31" s="62"/>
      <c r="AX31" s="62">
        <v>2</v>
      </c>
      <c r="AY31" s="63"/>
      <c r="AZ31" s="63">
        <v>2</v>
      </c>
      <c r="BA31" s="62"/>
      <c r="BB31" s="62"/>
      <c r="BC31" s="62"/>
      <c r="BD31" s="62"/>
      <c r="BE31" s="62"/>
      <c r="BF31" s="62"/>
      <c r="BG31" s="63">
        <f t="shared" si="2"/>
        <v>6</v>
      </c>
      <c r="BH31" s="63"/>
      <c r="BI31" s="63"/>
      <c r="BJ31" s="62"/>
      <c r="BK31" s="62"/>
      <c r="BL31" s="63"/>
      <c r="BM31" s="62"/>
      <c r="BN31" s="62"/>
      <c r="BO31" s="62"/>
      <c r="BP31" s="62"/>
      <c r="BQ31" s="63"/>
      <c r="BR31" s="62"/>
      <c r="BS31" s="62"/>
      <c r="BT31" s="62"/>
      <c r="BU31" s="62"/>
      <c r="BV31" s="62"/>
      <c r="BW31" s="62"/>
      <c r="BX31" s="63">
        <f t="shared" si="3"/>
        <v>0</v>
      </c>
      <c r="BY31" s="63"/>
      <c r="BZ31" s="62"/>
      <c r="CA31" s="62"/>
      <c r="CB31" s="62"/>
      <c r="CC31" s="62"/>
      <c r="CD31" s="62"/>
      <c r="CE31" s="62"/>
      <c r="CF31" s="62"/>
      <c r="CG31" s="62"/>
      <c r="CH31" s="62"/>
      <c r="CI31" s="63"/>
      <c r="CJ31" s="62"/>
      <c r="CK31" s="62"/>
      <c r="CL31" s="62"/>
      <c r="CM31" s="62"/>
      <c r="CN31" s="62"/>
      <c r="CO31" s="63">
        <f t="shared" si="4"/>
        <v>0</v>
      </c>
      <c r="CP31" s="62"/>
      <c r="CQ31" s="62"/>
      <c r="CR31" s="62"/>
      <c r="CS31" s="63"/>
      <c r="CT31" s="63"/>
      <c r="CU31" s="63"/>
      <c r="CV31" s="62"/>
      <c r="CW31" s="62"/>
      <c r="CX31" s="62"/>
      <c r="CY31" s="62"/>
      <c r="CZ31" s="62"/>
      <c r="DA31" s="62"/>
      <c r="DB31" s="62"/>
      <c r="DC31" s="62"/>
      <c r="DD31" s="62"/>
      <c r="DE31" s="63"/>
      <c r="DF31" s="62">
        <f t="shared" si="5"/>
        <v>0</v>
      </c>
      <c r="DG31" s="63"/>
      <c r="DH31" s="63">
        <f t="shared" si="6"/>
        <v>10</v>
      </c>
      <c r="DI31" s="63">
        <f t="shared" si="7"/>
        <v>0</v>
      </c>
      <c r="DJ31" s="62">
        <f t="shared" si="8"/>
        <v>2</v>
      </c>
      <c r="DK31" s="62">
        <f t="shared" si="9"/>
        <v>8</v>
      </c>
    </row>
    <row r="32" spans="1:115" x14ac:dyDescent="0.35">
      <c r="A32" s="45"/>
      <c r="B32" s="46" t="s">
        <v>53</v>
      </c>
      <c r="C32" s="47">
        <v>10</v>
      </c>
      <c r="D32" s="48">
        <v>678</v>
      </c>
      <c r="E32" s="49">
        <v>100849399</v>
      </c>
      <c r="F32" s="50" t="s">
        <v>54</v>
      </c>
      <c r="G32" s="51">
        <v>4</v>
      </c>
      <c r="H32" s="51"/>
      <c r="I32" s="52"/>
      <c r="J32" s="53"/>
      <c r="K32" s="53"/>
      <c r="L32" s="53"/>
      <c r="M32" s="54"/>
      <c r="N32" s="54"/>
      <c r="O32" s="54"/>
      <c r="P32" s="54"/>
      <c r="Q32" s="53"/>
      <c r="R32" s="53"/>
      <c r="S32" s="53"/>
      <c r="T32" s="53"/>
      <c r="U32" s="53"/>
      <c r="V32" s="55"/>
      <c r="W32" s="55"/>
      <c r="X32" s="54"/>
      <c r="Y32" s="54">
        <f t="shared" si="0"/>
        <v>0</v>
      </c>
      <c r="Z32" s="54"/>
      <c r="AA32" s="53"/>
      <c r="AB32" s="54"/>
      <c r="AC32" s="54"/>
      <c r="AD32" s="54">
        <v>2</v>
      </c>
      <c r="AE32" s="54">
        <v>2</v>
      </c>
      <c r="AF32" s="53">
        <v>2</v>
      </c>
      <c r="AG32" s="54"/>
      <c r="AH32" s="53">
        <v>2</v>
      </c>
      <c r="AI32" s="53"/>
      <c r="AJ32" s="53"/>
      <c r="AK32" s="53"/>
      <c r="AL32" s="53"/>
      <c r="AM32" s="55"/>
      <c r="AN32" s="55"/>
      <c r="AO32" s="54"/>
      <c r="AP32" s="54">
        <f t="shared" si="1"/>
        <v>8</v>
      </c>
      <c r="AQ32" s="55"/>
      <c r="AR32" s="53"/>
      <c r="AS32" s="54"/>
      <c r="AT32" s="53"/>
      <c r="AU32" s="53"/>
      <c r="AV32" s="53"/>
      <c r="AW32" s="53">
        <v>2</v>
      </c>
      <c r="AX32" s="53">
        <v>2</v>
      </c>
      <c r="AY32" s="54"/>
      <c r="AZ32" s="54">
        <v>2</v>
      </c>
      <c r="BA32" s="53"/>
      <c r="BB32" s="53"/>
      <c r="BC32" s="53"/>
      <c r="BD32" s="53"/>
      <c r="BE32" s="55"/>
      <c r="BF32" s="55"/>
      <c r="BG32" s="54">
        <f t="shared" si="2"/>
        <v>6</v>
      </c>
      <c r="BH32" s="54"/>
      <c r="BI32" s="54"/>
      <c r="BJ32" s="53"/>
      <c r="BK32" s="53"/>
      <c r="BL32" s="54"/>
      <c r="BM32" s="53"/>
      <c r="BN32" s="53"/>
      <c r="BO32" s="53"/>
      <c r="BP32" s="53"/>
      <c r="BQ32" s="54"/>
      <c r="BR32" s="53"/>
      <c r="BS32" s="53"/>
      <c r="BT32" s="53"/>
      <c r="BU32" s="53"/>
      <c r="BV32" s="55"/>
      <c r="BW32" s="55"/>
      <c r="BX32" s="54">
        <f t="shared" si="3"/>
        <v>0</v>
      </c>
      <c r="BY32" s="54"/>
      <c r="BZ32" s="53"/>
      <c r="CA32" s="53"/>
      <c r="CB32" s="53"/>
      <c r="CC32" s="53"/>
      <c r="CD32" s="53"/>
      <c r="CE32" s="53"/>
      <c r="CF32" s="53"/>
      <c r="CG32" s="53"/>
      <c r="CH32" s="53"/>
      <c r="CI32" s="54"/>
      <c r="CJ32" s="53"/>
      <c r="CK32" s="53"/>
      <c r="CL32" s="53"/>
      <c r="CM32" s="55"/>
      <c r="CN32" s="55"/>
      <c r="CO32" s="54">
        <f t="shared" si="4"/>
        <v>0</v>
      </c>
      <c r="CP32" s="55"/>
      <c r="CQ32" s="53"/>
      <c r="CR32" s="53"/>
      <c r="CS32" s="54"/>
      <c r="CT32" s="54"/>
      <c r="CU32" s="54"/>
      <c r="CV32" s="53"/>
      <c r="CW32" s="53"/>
      <c r="CX32" s="53"/>
      <c r="CY32" s="53"/>
      <c r="CZ32" s="53"/>
      <c r="DA32" s="53"/>
      <c r="DB32" s="53"/>
      <c r="DC32" s="55"/>
      <c r="DD32" s="55"/>
      <c r="DE32" s="54"/>
      <c r="DF32" s="55">
        <f t="shared" si="5"/>
        <v>0</v>
      </c>
      <c r="DG32" s="54"/>
      <c r="DH32" s="54">
        <f t="shared" si="6"/>
        <v>14</v>
      </c>
      <c r="DI32" s="54">
        <f t="shared" si="7"/>
        <v>0</v>
      </c>
      <c r="DJ32" s="53">
        <f t="shared" si="8"/>
        <v>4</v>
      </c>
      <c r="DK32" s="53">
        <f t="shared" si="9"/>
        <v>10</v>
      </c>
    </row>
    <row r="33" spans="1:115" x14ac:dyDescent="0.35">
      <c r="A33" s="56"/>
      <c r="B33" s="57" t="s">
        <v>32</v>
      </c>
      <c r="C33" s="58">
        <v>9</v>
      </c>
      <c r="D33" s="57">
        <v>1855</v>
      </c>
      <c r="E33" s="59">
        <v>100848909</v>
      </c>
      <c r="F33" s="60" t="s">
        <v>46</v>
      </c>
      <c r="G33" s="61">
        <v>2</v>
      </c>
      <c r="H33" s="61"/>
      <c r="I33" s="62"/>
      <c r="J33" s="62"/>
      <c r="K33" s="62"/>
      <c r="L33" s="62"/>
      <c r="M33" s="63"/>
      <c r="N33" s="63"/>
      <c r="O33" s="63"/>
      <c r="P33" s="63"/>
      <c r="Q33" s="62"/>
      <c r="R33" s="62"/>
      <c r="S33" s="62"/>
      <c r="T33" s="62"/>
      <c r="U33" s="62"/>
      <c r="V33" s="62"/>
      <c r="W33" s="62"/>
      <c r="X33" s="63"/>
      <c r="Y33" s="63">
        <f t="shared" si="0"/>
        <v>0</v>
      </c>
      <c r="Z33" s="63"/>
      <c r="AA33" s="62"/>
      <c r="AB33" s="63"/>
      <c r="AC33" s="63"/>
      <c r="AD33" s="63">
        <v>2</v>
      </c>
      <c r="AE33" s="63">
        <v>2</v>
      </c>
      <c r="AF33" s="62"/>
      <c r="AG33" s="63"/>
      <c r="AH33" s="62">
        <v>2</v>
      </c>
      <c r="AI33" s="62"/>
      <c r="AJ33" s="62"/>
      <c r="AK33" s="62"/>
      <c r="AL33" s="62"/>
      <c r="AM33" s="62"/>
      <c r="AN33" s="62"/>
      <c r="AO33" s="63"/>
      <c r="AP33" s="63">
        <f t="shared" si="1"/>
        <v>6</v>
      </c>
      <c r="AQ33" s="62"/>
      <c r="AR33" s="62"/>
      <c r="AS33" s="63"/>
      <c r="AT33" s="62"/>
      <c r="AU33" s="62">
        <v>2</v>
      </c>
      <c r="AV33" s="62"/>
      <c r="AW33" s="62"/>
      <c r="AX33" s="62"/>
      <c r="AY33" s="63">
        <v>2</v>
      </c>
      <c r="AZ33" s="63">
        <v>2</v>
      </c>
      <c r="BA33" s="62"/>
      <c r="BB33" s="62"/>
      <c r="BC33" s="62"/>
      <c r="BD33" s="62"/>
      <c r="BE33" s="62"/>
      <c r="BF33" s="62"/>
      <c r="BG33" s="63">
        <f t="shared" si="2"/>
        <v>6</v>
      </c>
      <c r="BH33" s="63"/>
      <c r="BI33" s="63"/>
      <c r="BJ33" s="62"/>
      <c r="BK33" s="62"/>
      <c r="BL33" s="63"/>
      <c r="BM33" s="62"/>
      <c r="BN33" s="62"/>
      <c r="BO33" s="62"/>
      <c r="BP33" s="62"/>
      <c r="BQ33" s="63"/>
      <c r="BR33" s="62"/>
      <c r="BS33" s="62"/>
      <c r="BT33" s="62"/>
      <c r="BU33" s="62"/>
      <c r="BV33" s="62"/>
      <c r="BW33" s="62"/>
      <c r="BX33" s="63">
        <f t="shared" si="3"/>
        <v>0</v>
      </c>
      <c r="BY33" s="63"/>
      <c r="BZ33" s="62"/>
      <c r="CA33" s="62"/>
      <c r="CB33" s="62"/>
      <c r="CC33" s="62"/>
      <c r="CD33" s="62"/>
      <c r="CE33" s="62"/>
      <c r="CF33" s="62"/>
      <c r="CG33" s="62"/>
      <c r="CH33" s="62"/>
      <c r="CI33" s="63"/>
      <c r="CJ33" s="62"/>
      <c r="CK33" s="62"/>
      <c r="CL33" s="62"/>
      <c r="CM33" s="62"/>
      <c r="CN33" s="62"/>
      <c r="CO33" s="63">
        <f t="shared" si="4"/>
        <v>0</v>
      </c>
      <c r="CP33" s="62"/>
      <c r="CQ33" s="62"/>
      <c r="CR33" s="62"/>
      <c r="CS33" s="63"/>
      <c r="CT33" s="63"/>
      <c r="CU33" s="63"/>
      <c r="CV33" s="62"/>
      <c r="CW33" s="62"/>
      <c r="CX33" s="62"/>
      <c r="CY33" s="62"/>
      <c r="CZ33" s="62"/>
      <c r="DA33" s="62"/>
      <c r="DB33" s="62"/>
      <c r="DC33" s="62"/>
      <c r="DD33" s="62"/>
      <c r="DE33" s="63"/>
      <c r="DF33" s="62">
        <f t="shared" si="5"/>
        <v>0</v>
      </c>
      <c r="DG33" s="63"/>
      <c r="DH33" s="63">
        <f t="shared" si="6"/>
        <v>12</v>
      </c>
      <c r="DI33" s="63">
        <f t="shared" si="7"/>
        <v>0</v>
      </c>
      <c r="DJ33" s="62">
        <f t="shared" si="8"/>
        <v>2</v>
      </c>
      <c r="DK33" s="62">
        <f t="shared" si="9"/>
        <v>10</v>
      </c>
    </row>
    <row r="34" spans="1:115" x14ac:dyDescent="0.35">
      <c r="A34" s="45"/>
      <c r="B34" s="46" t="s">
        <v>32</v>
      </c>
      <c r="C34" s="47">
        <v>8</v>
      </c>
      <c r="D34" s="48">
        <v>1884</v>
      </c>
      <c r="E34" s="49">
        <v>100844052</v>
      </c>
      <c r="F34" s="50" t="s">
        <v>42</v>
      </c>
      <c r="G34" s="51">
        <v>2</v>
      </c>
      <c r="H34" s="51"/>
      <c r="I34" s="52"/>
      <c r="J34" s="53"/>
      <c r="K34" s="53"/>
      <c r="L34" s="53"/>
      <c r="M34" s="54"/>
      <c r="N34" s="54"/>
      <c r="O34" s="54"/>
      <c r="P34" s="54"/>
      <c r="Q34" s="53"/>
      <c r="R34" s="53"/>
      <c r="S34" s="53"/>
      <c r="T34" s="53"/>
      <c r="U34" s="53"/>
      <c r="V34" s="55"/>
      <c r="W34" s="55"/>
      <c r="X34" s="54"/>
      <c r="Y34" s="54">
        <f t="shared" si="0"/>
        <v>0</v>
      </c>
      <c r="Z34" s="54"/>
      <c r="AA34" s="53"/>
      <c r="AB34" s="54"/>
      <c r="AC34" s="54"/>
      <c r="AD34" s="54"/>
      <c r="AE34" s="54">
        <v>2</v>
      </c>
      <c r="AF34" s="53"/>
      <c r="AG34" s="54"/>
      <c r="AH34" s="53"/>
      <c r="AI34" s="53"/>
      <c r="AJ34" s="53"/>
      <c r="AK34" s="53"/>
      <c r="AL34" s="53"/>
      <c r="AM34" s="55"/>
      <c r="AN34" s="55"/>
      <c r="AO34" s="54"/>
      <c r="AP34" s="54">
        <f t="shared" si="1"/>
        <v>2</v>
      </c>
      <c r="AQ34" s="55"/>
      <c r="AR34" s="53"/>
      <c r="AS34" s="54"/>
      <c r="AT34" s="53"/>
      <c r="AU34" s="53"/>
      <c r="AV34" s="53"/>
      <c r="AW34" s="53"/>
      <c r="AX34" s="53"/>
      <c r="AY34" s="54"/>
      <c r="AZ34" s="54">
        <v>2</v>
      </c>
      <c r="BA34" s="53"/>
      <c r="BB34" s="53"/>
      <c r="BC34" s="53"/>
      <c r="BD34" s="53"/>
      <c r="BE34" s="55"/>
      <c r="BF34" s="55"/>
      <c r="BG34" s="54">
        <f t="shared" si="2"/>
        <v>2</v>
      </c>
      <c r="BH34" s="54"/>
      <c r="BI34" s="54"/>
      <c r="BJ34" s="53"/>
      <c r="BK34" s="53"/>
      <c r="BL34" s="54"/>
      <c r="BM34" s="53"/>
      <c r="BN34" s="53"/>
      <c r="BO34" s="53"/>
      <c r="BP34" s="53"/>
      <c r="BQ34" s="54"/>
      <c r="BR34" s="53"/>
      <c r="BS34" s="53"/>
      <c r="BT34" s="53"/>
      <c r="BU34" s="53"/>
      <c r="BV34" s="55"/>
      <c r="BW34" s="55"/>
      <c r="BX34" s="54">
        <f t="shared" si="3"/>
        <v>0</v>
      </c>
      <c r="BY34" s="54"/>
      <c r="BZ34" s="53"/>
      <c r="CA34" s="53"/>
      <c r="CB34" s="53"/>
      <c r="CC34" s="53"/>
      <c r="CD34" s="53"/>
      <c r="CE34" s="53"/>
      <c r="CF34" s="53"/>
      <c r="CG34" s="53"/>
      <c r="CH34" s="53"/>
      <c r="CI34" s="54"/>
      <c r="CJ34" s="53"/>
      <c r="CK34" s="53"/>
      <c r="CL34" s="53"/>
      <c r="CM34" s="55"/>
      <c r="CN34" s="55"/>
      <c r="CO34" s="54">
        <f t="shared" si="4"/>
        <v>0</v>
      </c>
      <c r="CP34" s="55"/>
      <c r="CQ34" s="53"/>
      <c r="CR34" s="53"/>
      <c r="CS34" s="54"/>
      <c r="CT34" s="54"/>
      <c r="CU34" s="54"/>
      <c r="CV34" s="53"/>
      <c r="CW34" s="53"/>
      <c r="CX34" s="53"/>
      <c r="CY34" s="53"/>
      <c r="CZ34" s="53"/>
      <c r="DA34" s="53"/>
      <c r="DB34" s="53"/>
      <c r="DC34" s="55"/>
      <c r="DD34" s="55"/>
      <c r="DE34" s="54"/>
      <c r="DF34" s="55">
        <f t="shared" si="5"/>
        <v>0</v>
      </c>
      <c r="DG34" s="54"/>
      <c r="DH34" s="54">
        <f t="shared" si="6"/>
        <v>4</v>
      </c>
      <c r="DI34" s="54">
        <f t="shared" si="7"/>
        <v>0</v>
      </c>
      <c r="DJ34" s="53">
        <f t="shared" si="8"/>
        <v>2</v>
      </c>
      <c r="DK34" s="53">
        <f t="shared" si="9"/>
        <v>2</v>
      </c>
    </row>
    <row r="35" spans="1:115" x14ac:dyDescent="0.35">
      <c r="A35" s="56"/>
      <c r="B35" s="57" t="s">
        <v>49</v>
      </c>
      <c r="C35" s="58">
        <v>10</v>
      </c>
      <c r="D35" s="57">
        <v>688</v>
      </c>
      <c r="E35" s="59">
        <v>100847719</v>
      </c>
      <c r="F35" s="60" t="s">
        <v>52</v>
      </c>
      <c r="G35" s="61">
        <v>2</v>
      </c>
      <c r="H35" s="61"/>
      <c r="I35" s="62"/>
      <c r="J35" s="62"/>
      <c r="K35" s="62"/>
      <c r="L35" s="62"/>
      <c r="M35" s="63"/>
      <c r="N35" s="63"/>
      <c r="O35" s="63"/>
      <c r="P35" s="63"/>
      <c r="Q35" s="62"/>
      <c r="R35" s="62"/>
      <c r="S35" s="62"/>
      <c r="T35" s="62"/>
      <c r="U35" s="62"/>
      <c r="V35" s="62"/>
      <c r="W35" s="62"/>
      <c r="X35" s="63"/>
      <c r="Y35" s="63">
        <f t="shared" si="0"/>
        <v>0</v>
      </c>
      <c r="Z35" s="63"/>
      <c r="AA35" s="62"/>
      <c r="AB35" s="63"/>
      <c r="AC35" s="63"/>
      <c r="AD35" s="63">
        <v>2</v>
      </c>
      <c r="AE35" s="63">
        <v>2</v>
      </c>
      <c r="AF35" s="62"/>
      <c r="AG35" s="63"/>
      <c r="AH35" s="62"/>
      <c r="AI35" s="62">
        <v>2</v>
      </c>
      <c r="AJ35" s="62"/>
      <c r="AK35" s="62"/>
      <c r="AL35" s="62"/>
      <c r="AM35" s="62"/>
      <c r="AN35" s="62"/>
      <c r="AO35" s="63"/>
      <c r="AP35" s="63">
        <f t="shared" si="1"/>
        <v>6</v>
      </c>
      <c r="AQ35" s="62"/>
      <c r="AR35" s="62"/>
      <c r="AS35" s="63"/>
      <c r="AT35" s="62"/>
      <c r="AU35" s="62">
        <v>2</v>
      </c>
      <c r="AV35" s="62"/>
      <c r="AW35" s="62"/>
      <c r="AX35" s="62">
        <v>2</v>
      </c>
      <c r="AY35" s="63"/>
      <c r="AZ35" s="63">
        <v>2</v>
      </c>
      <c r="BA35" s="62"/>
      <c r="BB35" s="62"/>
      <c r="BC35" s="62"/>
      <c r="BD35" s="62"/>
      <c r="BE35" s="62"/>
      <c r="BF35" s="62"/>
      <c r="BG35" s="63">
        <f t="shared" si="2"/>
        <v>6</v>
      </c>
      <c r="BH35" s="63"/>
      <c r="BI35" s="63"/>
      <c r="BJ35" s="62"/>
      <c r="BK35" s="62"/>
      <c r="BL35" s="63"/>
      <c r="BM35" s="62"/>
      <c r="BN35" s="62"/>
      <c r="BO35" s="62"/>
      <c r="BP35" s="62"/>
      <c r="BQ35" s="63"/>
      <c r="BR35" s="62"/>
      <c r="BS35" s="62"/>
      <c r="BT35" s="62"/>
      <c r="BU35" s="62"/>
      <c r="BV35" s="62"/>
      <c r="BW35" s="62"/>
      <c r="BX35" s="63">
        <f t="shared" si="3"/>
        <v>0</v>
      </c>
      <c r="BY35" s="63"/>
      <c r="BZ35" s="62"/>
      <c r="CA35" s="62"/>
      <c r="CB35" s="62"/>
      <c r="CC35" s="62"/>
      <c r="CD35" s="62"/>
      <c r="CE35" s="62"/>
      <c r="CF35" s="62"/>
      <c r="CG35" s="62"/>
      <c r="CH35" s="62"/>
      <c r="CI35" s="63"/>
      <c r="CJ35" s="62"/>
      <c r="CK35" s="62"/>
      <c r="CL35" s="62"/>
      <c r="CM35" s="62"/>
      <c r="CN35" s="62"/>
      <c r="CO35" s="63">
        <f t="shared" si="4"/>
        <v>0</v>
      </c>
      <c r="CP35" s="62"/>
      <c r="CQ35" s="62"/>
      <c r="CR35" s="62"/>
      <c r="CS35" s="63"/>
      <c r="CT35" s="63"/>
      <c r="CU35" s="63"/>
      <c r="CV35" s="62"/>
      <c r="CW35" s="62"/>
      <c r="CX35" s="62"/>
      <c r="CY35" s="62"/>
      <c r="CZ35" s="62"/>
      <c r="DA35" s="62"/>
      <c r="DB35" s="62"/>
      <c r="DC35" s="62"/>
      <c r="DD35" s="62"/>
      <c r="DE35" s="63"/>
      <c r="DF35" s="62">
        <f t="shared" si="5"/>
        <v>0</v>
      </c>
      <c r="DG35" s="63"/>
      <c r="DH35" s="63">
        <f t="shared" si="6"/>
        <v>12</v>
      </c>
      <c r="DI35" s="63">
        <f t="shared" si="7"/>
        <v>0</v>
      </c>
      <c r="DJ35" s="62">
        <f t="shared" si="8"/>
        <v>2</v>
      </c>
      <c r="DK35" s="62">
        <f t="shared" si="9"/>
        <v>10</v>
      </c>
    </row>
    <row r="36" spans="1:115" ht="15" thickBot="1" x14ac:dyDescent="0.4">
      <c r="A36" s="45"/>
      <c r="B36" s="46" t="s">
        <v>32</v>
      </c>
      <c r="C36" s="47">
        <v>6</v>
      </c>
      <c r="D36" s="48">
        <v>2355</v>
      </c>
      <c r="E36" s="49">
        <v>100851264</v>
      </c>
      <c r="F36" s="50" t="s">
        <v>38</v>
      </c>
      <c r="G36" s="64">
        <v>6</v>
      </c>
      <c r="H36" s="64"/>
      <c r="I36" s="65"/>
      <c r="J36" s="66">
        <v>2</v>
      </c>
      <c r="K36" s="66"/>
      <c r="L36" s="66"/>
      <c r="M36" s="67"/>
      <c r="N36" s="67"/>
      <c r="O36" s="67"/>
      <c r="P36" s="67"/>
      <c r="Q36" s="66"/>
      <c r="R36" s="66"/>
      <c r="S36" s="66"/>
      <c r="T36" s="66"/>
      <c r="U36" s="66"/>
      <c r="V36" s="68"/>
      <c r="W36" s="68"/>
      <c r="X36" s="67"/>
      <c r="Y36" s="67">
        <f t="shared" si="0"/>
        <v>2</v>
      </c>
      <c r="Z36" s="67"/>
      <c r="AA36" s="66"/>
      <c r="AB36" s="67">
        <v>2</v>
      </c>
      <c r="AC36" s="67">
        <v>2</v>
      </c>
      <c r="AD36" s="67">
        <v>2</v>
      </c>
      <c r="AE36" s="67">
        <v>2</v>
      </c>
      <c r="AF36" s="66">
        <v>2</v>
      </c>
      <c r="AG36" s="67">
        <v>2</v>
      </c>
      <c r="AH36" s="66">
        <v>2</v>
      </c>
      <c r="AI36" s="66">
        <v>2</v>
      </c>
      <c r="AJ36" s="66"/>
      <c r="AK36" s="66"/>
      <c r="AL36" s="66"/>
      <c r="AM36" s="68"/>
      <c r="AN36" s="68"/>
      <c r="AO36" s="67"/>
      <c r="AP36" s="67">
        <f t="shared" si="1"/>
        <v>16</v>
      </c>
      <c r="AQ36" s="68"/>
      <c r="AR36" s="66"/>
      <c r="AS36" s="67"/>
      <c r="AT36" s="66">
        <v>2</v>
      </c>
      <c r="AU36" s="66">
        <v>2</v>
      </c>
      <c r="AV36" s="66"/>
      <c r="AW36" s="66"/>
      <c r="AX36" s="66"/>
      <c r="AY36" s="67">
        <v>2</v>
      </c>
      <c r="AZ36" s="67">
        <v>2</v>
      </c>
      <c r="BA36" s="66"/>
      <c r="BB36" s="66"/>
      <c r="BC36" s="66"/>
      <c r="BD36" s="66"/>
      <c r="BE36" s="68"/>
      <c r="BF36" s="68"/>
      <c r="BG36" s="67">
        <f t="shared" si="2"/>
        <v>8</v>
      </c>
      <c r="BH36" s="67"/>
      <c r="BI36" s="67"/>
      <c r="BJ36" s="66"/>
      <c r="BK36" s="66"/>
      <c r="BL36" s="67"/>
      <c r="BM36" s="66"/>
      <c r="BN36" s="66"/>
      <c r="BO36" s="66"/>
      <c r="BP36" s="66"/>
      <c r="BQ36" s="67"/>
      <c r="BR36" s="66"/>
      <c r="BS36" s="66"/>
      <c r="BT36" s="66"/>
      <c r="BU36" s="66"/>
      <c r="BV36" s="68"/>
      <c r="BW36" s="68"/>
      <c r="BX36" s="67">
        <f t="shared" si="3"/>
        <v>0</v>
      </c>
      <c r="BY36" s="67"/>
      <c r="BZ36" s="66"/>
      <c r="CA36" s="66"/>
      <c r="CB36" s="66"/>
      <c r="CC36" s="66"/>
      <c r="CD36" s="66"/>
      <c r="CE36" s="66"/>
      <c r="CF36" s="66"/>
      <c r="CG36" s="66"/>
      <c r="CH36" s="66"/>
      <c r="CI36" s="67"/>
      <c r="CJ36" s="66"/>
      <c r="CK36" s="66"/>
      <c r="CL36" s="66"/>
      <c r="CM36" s="68"/>
      <c r="CN36" s="68"/>
      <c r="CO36" s="67">
        <f t="shared" si="4"/>
        <v>0</v>
      </c>
      <c r="CP36" s="68"/>
      <c r="CQ36" s="66"/>
      <c r="CR36" s="66"/>
      <c r="CS36" s="67"/>
      <c r="CT36" s="67"/>
      <c r="CU36" s="67"/>
      <c r="CV36" s="66"/>
      <c r="CW36" s="66"/>
      <c r="CX36" s="66"/>
      <c r="CY36" s="66"/>
      <c r="CZ36" s="66"/>
      <c r="DA36" s="66"/>
      <c r="DB36" s="66"/>
      <c r="DC36" s="68"/>
      <c r="DD36" s="68"/>
      <c r="DE36" s="67"/>
      <c r="DF36" s="68">
        <f t="shared" si="5"/>
        <v>0</v>
      </c>
      <c r="DG36" s="67"/>
      <c r="DH36" s="67">
        <f t="shared" si="6"/>
        <v>26</v>
      </c>
      <c r="DI36" s="67">
        <f t="shared" si="7"/>
        <v>0</v>
      </c>
      <c r="DJ36" s="66">
        <f t="shared" si="8"/>
        <v>6</v>
      </c>
      <c r="DK36" s="66">
        <f t="shared" si="9"/>
        <v>20</v>
      </c>
    </row>
    <row r="37" spans="1:115" s="69" customFormat="1" ht="15" thickTop="1" x14ac:dyDescent="0.35">
      <c r="A37" s="113"/>
      <c r="B37" s="114" t="s">
        <v>73</v>
      </c>
      <c r="C37" s="115">
        <v>5</v>
      </c>
      <c r="D37" s="116">
        <v>447</v>
      </c>
      <c r="E37" s="117">
        <v>100851236</v>
      </c>
      <c r="F37" s="118" t="s">
        <v>74</v>
      </c>
      <c r="G37" s="119">
        <v>4</v>
      </c>
      <c r="H37" s="119"/>
      <c r="I37" s="120"/>
      <c r="J37" s="121">
        <v>2</v>
      </c>
      <c r="K37" s="121"/>
      <c r="L37" s="121"/>
      <c r="M37" s="122"/>
      <c r="N37" s="122"/>
      <c r="O37" s="122"/>
      <c r="P37" s="122"/>
      <c r="Q37" s="121"/>
      <c r="R37" s="121"/>
      <c r="S37" s="121"/>
      <c r="T37" s="121"/>
      <c r="U37" s="121"/>
      <c r="V37" s="123"/>
      <c r="W37" s="123"/>
      <c r="X37" s="122"/>
      <c r="Y37" s="122">
        <f t="shared" si="0"/>
        <v>2</v>
      </c>
      <c r="Z37" s="122"/>
      <c r="AA37" s="121"/>
      <c r="AB37" s="122"/>
      <c r="AC37" s="122">
        <v>2</v>
      </c>
      <c r="AD37" s="122"/>
      <c r="AE37" s="122">
        <v>2</v>
      </c>
      <c r="AF37" s="121"/>
      <c r="AG37" s="122"/>
      <c r="AH37" s="121"/>
      <c r="AI37" s="121"/>
      <c r="AJ37" s="121"/>
      <c r="AK37" s="121"/>
      <c r="AL37" s="121"/>
      <c r="AM37" s="123"/>
      <c r="AN37" s="123"/>
      <c r="AO37" s="122"/>
      <c r="AP37" s="122">
        <f t="shared" si="1"/>
        <v>4</v>
      </c>
      <c r="AQ37" s="123"/>
      <c r="AR37" s="121"/>
      <c r="AS37" s="122"/>
      <c r="AT37" s="121"/>
      <c r="AU37" s="121"/>
      <c r="AV37" s="121"/>
      <c r="AW37" s="121"/>
      <c r="AX37" s="121"/>
      <c r="AY37" s="122"/>
      <c r="AZ37" s="122">
        <v>2</v>
      </c>
      <c r="BA37" s="121"/>
      <c r="BB37" s="121"/>
      <c r="BC37" s="121"/>
      <c r="BD37" s="121"/>
      <c r="BE37" s="123"/>
      <c r="BF37" s="123"/>
      <c r="BG37" s="122">
        <f t="shared" si="2"/>
        <v>2</v>
      </c>
      <c r="BH37" s="122"/>
      <c r="BI37" s="122"/>
      <c r="BJ37" s="121"/>
      <c r="BK37" s="121"/>
      <c r="BL37" s="122"/>
      <c r="BM37" s="121"/>
      <c r="BN37" s="121"/>
      <c r="BO37" s="121"/>
      <c r="BP37" s="121"/>
      <c r="BQ37" s="122"/>
      <c r="BR37" s="121"/>
      <c r="BS37" s="121"/>
      <c r="BT37" s="121"/>
      <c r="BU37" s="121"/>
      <c r="BV37" s="123"/>
      <c r="BW37" s="123"/>
      <c r="BX37" s="122">
        <f t="shared" si="3"/>
        <v>0</v>
      </c>
      <c r="BY37" s="122"/>
      <c r="BZ37" s="121"/>
      <c r="CA37" s="121"/>
      <c r="CB37" s="121"/>
      <c r="CC37" s="121"/>
      <c r="CD37" s="121"/>
      <c r="CE37" s="121"/>
      <c r="CF37" s="121"/>
      <c r="CG37" s="121"/>
      <c r="CH37" s="121"/>
      <c r="CI37" s="122"/>
      <c r="CJ37" s="121"/>
      <c r="CK37" s="121"/>
      <c r="CL37" s="121"/>
      <c r="CM37" s="123"/>
      <c r="CN37" s="123"/>
      <c r="CO37" s="122">
        <f t="shared" si="4"/>
        <v>0</v>
      </c>
      <c r="CP37" s="123"/>
      <c r="CQ37" s="121"/>
      <c r="CR37" s="121"/>
      <c r="CS37" s="122"/>
      <c r="CT37" s="122"/>
      <c r="CU37" s="122"/>
      <c r="CV37" s="121"/>
      <c r="CW37" s="121"/>
      <c r="CX37" s="121"/>
      <c r="CY37" s="121"/>
      <c r="CZ37" s="121"/>
      <c r="DA37" s="121"/>
      <c r="DB37" s="121"/>
      <c r="DC37" s="123"/>
      <c r="DD37" s="123"/>
      <c r="DE37" s="122"/>
      <c r="DF37" s="123">
        <f t="shared" si="5"/>
        <v>0</v>
      </c>
      <c r="DG37" s="122"/>
      <c r="DH37" s="122">
        <f t="shared" si="6"/>
        <v>8</v>
      </c>
      <c r="DI37" s="122">
        <f t="shared" si="7"/>
        <v>0</v>
      </c>
      <c r="DJ37" s="121">
        <f t="shared" si="8"/>
        <v>4</v>
      </c>
      <c r="DK37" s="121">
        <f t="shared" si="9"/>
        <v>4</v>
      </c>
    </row>
    <row r="38" spans="1:115" s="112" customFormat="1" x14ac:dyDescent="0.35">
      <c r="A38" s="104"/>
      <c r="B38" s="105" t="s">
        <v>73</v>
      </c>
      <c r="C38" s="106">
        <v>6</v>
      </c>
      <c r="D38" s="105">
        <v>403</v>
      </c>
      <c r="E38" s="107">
        <v>100842110</v>
      </c>
      <c r="F38" s="108" t="s">
        <v>83</v>
      </c>
      <c r="G38" s="109">
        <v>2</v>
      </c>
      <c r="H38" s="109"/>
      <c r="I38" s="110"/>
      <c r="J38" s="110"/>
      <c r="K38" s="110"/>
      <c r="L38" s="110"/>
      <c r="M38" s="111"/>
      <c r="N38" s="111"/>
      <c r="O38" s="111"/>
      <c r="P38" s="111"/>
      <c r="Q38" s="110"/>
      <c r="R38" s="110"/>
      <c r="S38" s="110"/>
      <c r="T38" s="110"/>
      <c r="U38" s="110"/>
      <c r="V38" s="110"/>
      <c r="W38" s="110"/>
      <c r="X38" s="111"/>
      <c r="Y38" s="111">
        <f t="shared" si="0"/>
        <v>0</v>
      </c>
      <c r="Z38" s="111"/>
      <c r="AA38" s="110"/>
      <c r="AB38" s="111">
        <v>2</v>
      </c>
      <c r="AC38" s="111"/>
      <c r="AD38" s="111">
        <v>2</v>
      </c>
      <c r="AE38" s="111">
        <v>2</v>
      </c>
      <c r="AF38" s="110">
        <v>2</v>
      </c>
      <c r="AG38" s="111">
        <v>2</v>
      </c>
      <c r="AH38" s="110">
        <v>2</v>
      </c>
      <c r="AI38" s="110">
        <v>2</v>
      </c>
      <c r="AJ38" s="110"/>
      <c r="AK38" s="110"/>
      <c r="AL38" s="110"/>
      <c r="AM38" s="110"/>
      <c r="AN38" s="110"/>
      <c r="AO38" s="111"/>
      <c r="AP38" s="111">
        <f t="shared" si="1"/>
        <v>14</v>
      </c>
      <c r="AQ38" s="110"/>
      <c r="AR38" s="110">
        <v>2</v>
      </c>
      <c r="AS38" s="111">
        <v>2</v>
      </c>
      <c r="AT38" s="110">
        <v>2</v>
      </c>
      <c r="AU38" s="110">
        <v>2</v>
      </c>
      <c r="AV38" s="110"/>
      <c r="AW38" s="110">
        <v>2</v>
      </c>
      <c r="AX38" s="110">
        <v>2</v>
      </c>
      <c r="AY38" s="111">
        <v>2</v>
      </c>
      <c r="AZ38" s="111">
        <v>2</v>
      </c>
      <c r="BA38" s="110"/>
      <c r="BB38" s="110"/>
      <c r="BC38" s="110"/>
      <c r="BD38" s="110"/>
      <c r="BE38" s="110"/>
      <c r="BF38" s="110"/>
      <c r="BG38" s="111">
        <f t="shared" si="2"/>
        <v>16</v>
      </c>
      <c r="BH38" s="111"/>
      <c r="BI38" s="111">
        <v>2</v>
      </c>
      <c r="BJ38" s="110">
        <v>2</v>
      </c>
      <c r="BK38" s="110"/>
      <c r="BL38" s="111"/>
      <c r="BM38" s="110"/>
      <c r="BN38" s="110"/>
      <c r="BO38" s="110"/>
      <c r="BP38" s="110"/>
      <c r="BQ38" s="111"/>
      <c r="BR38" s="110"/>
      <c r="BS38" s="110"/>
      <c r="BT38" s="110"/>
      <c r="BU38" s="110"/>
      <c r="BV38" s="110"/>
      <c r="BW38" s="110"/>
      <c r="BX38" s="111">
        <f t="shared" si="3"/>
        <v>4</v>
      </c>
      <c r="BY38" s="111"/>
      <c r="BZ38" s="110"/>
      <c r="CA38" s="110"/>
      <c r="CB38" s="110"/>
      <c r="CC38" s="110"/>
      <c r="CD38" s="110"/>
      <c r="CE38" s="110"/>
      <c r="CF38" s="110"/>
      <c r="CG38" s="110"/>
      <c r="CH38" s="110"/>
      <c r="CI38" s="111"/>
      <c r="CJ38" s="110"/>
      <c r="CK38" s="110"/>
      <c r="CL38" s="110"/>
      <c r="CM38" s="110"/>
      <c r="CN38" s="110"/>
      <c r="CO38" s="111">
        <f t="shared" si="4"/>
        <v>0</v>
      </c>
      <c r="CP38" s="110"/>
      <c r="CQ38" s="110"/>
      <c r="CR38" s="110"/>
      <c r="CS38" s="111"/>
      <c r="CT38" s="111"/>
      <c r="CU38" s="111"/>
      <c r="CV38" s="110"/>
      <c r="CW38" s="110"/>
      <c r="CX38" s="110"/>
      <c r="CY38" s="110"/>
      <c r="CZ38" s="110"/>
      <c r="DA38" s="110"/>
      <c r="DB38" s="110"/>
      <c r="DC38" s="110"/>
      <c r="DD38" s="110"/>
      <c r="DE38" s="111"/>
      <c r="DF38" s="110">
        <f t="shared" si="5"/>
        <v>0</v>
      </c>
      <c r="DG38" s="111"/>
      <c r="DH38" s="111">
        <f t="shared" si="6"/>
        <v>34</v>
      </c>
      <c r="DI38" s="111">
        <f t="shared" si="7"/>
        <v>0</v>
      </c>
      <c r="DJ38" s="110">
        <f t="shared" si="8"/>
        <v>2</v>
      </c>
      <c r="DK38" s="110">
        <f t="shared" si="9"/>
        <v>32</v>
      </c>
    </row>
    <row r="39" spans="1:115" x14ac:dyDescent="0.35">
      <c r="A39" s="45"/>
      <c r="B39" s="46" t="s">
        <v>71</v>
      </c>
      <c r="C39" s="47">
        <v>6</v>
      </c>
      <c r="D39" s="48">
        <v>359</v>
      </c>
      <c r="E39" s="49">
        <v>100840461</v>
      </c>
      <c r="F39" s="50" t="s">
        <v>77</v>
      </c>
      <c r="G39" s="51">
        <v>4</v>
      </c>
      <c r="H39" s="51"/>
      <c r="I39" s="52"/>
      <c r="J39" s="53"/>
      <c r="K39" s="53"/>
      <c r="L39" s="53"/>
      <c r="M39" s="54"/>
      <c r="N39" s="54"/>
      <c r="O39" s="54"/>
      <c r="P39" s="54"/>
      <c r="Q39" s="53"/>
      <c r="R39" s="53"/>
      <c r="S39" s="53"/>
      <c r="T39" s="53"/>
      <c r="U39" s="53"/>
      <c r="V39" s="55"/>
      <c r="W39" s="55"/>
      <c r="X39" s="54"/>
      <c r="Y39" s="54">
        <f t="shared" si="0"/>
        <v>0</v>
      </c>
      <c r="Z39" s="54"/>
      <c r="AA39" s="53"/>
      <c r="AB39" s="54">
        <v>2</v>
      </c>
      <c r="AC39" s="54">
        <v>2</v>
      </c>
      <c r="AD39" s="54"/>
      <c r="AE39" s="54">
        <v>2</v>
      </c>
      <c r="AF39" s="53"/>
      <c r="AG39" s="54"/>
      <c r="AH39" s="53"/>
      <c r="AI39" s="53"/>
      <c r="AJ39" s="53"/>
      <c r="AK39" s="53"/>
      <c r="AL39" s="53"/>
      <c r="AM39" s="55"/>
      <c r="AN39" s="55"/>
      <c r="AO39" s="54"/>
      <c r="AP39" s="54">
        <f t="shared" si="1"/>
        <v>6</v>
      </c>
      <c r="AQ39" s="55"/>
      <c r="AR39" s="53"/>
      <c r="AS39" s="54"/>
      <c r="AT39" s="53">
        <v>2</v>
      </c>
      <c r="AU39" s="53">
        <v>2</v>
      </c>
      <c r="AV39" s="53"/>
      <c r="AW39" s="53"/>
      <c r="AX39" s="53"/>
      <c r="AY39" s="54">
        <v>2</v>
      </c>
      <c r="AZ39" s="54">
        <v>2</v>
      </c>
      <c r="BA39" s="53"/>
      <c r="BB39" s="53"/>
      <c r="BC39" s="53"/>
      <c r="BD39" s="53"/>
      <c r="BE39" s="55"/>
      <c r="BF39" s="55"/>
      <c r="BG39" s="54">
        <f t="shared" si="2"/>
        <v>8</v>
      </c>
      <c r="BH39" s="54"/>
      <c r="BI39" s="54">
        <v>2</v>
      </c>
      <c r="BJ39" s="53"/>
      <c r="BK39" s="53"/>
      <c r="BL39" s="54"/>
      <c r="BM39" s="53"/>
      <c r="BN39" s="53"/>
      <c r="BO39" s="53"/>
      <c r="BP39" s="53"/>
      <c r="BQ39" s="54"/>
      <c r="BR39" s="53"/>
      <c r="BS39" s="53"/>
      <c r="BT39" s="53"/>
      <c r="BU39" s="53"/>
      <c r="BV39" s="55"/>
      <c r="BW39" s="55"/>
      <c r="BX39" s="54">
        <f t="shared" si="3"/>
        <v>2</v>
      </c>
      <c r="BY39" s="54"/>
      <c r="BZ39" s="53"/>
      <c r="CA39" s="53"/>
      <c r="CB39" s="53"/>
      <c r="CC39" s="53"/>
      <c r="CD39" s="53"/>
      <c r="CE39" s="53"/>
      <c r="CF39" s="53"/>
      <c r="CG39" s="53"/>
      <c r="CH39" s="53"/>
      <c r="CI39" s="54"/>
      <c r="CJ39" s="53"/>
      <c r="CK39" s="53"/>
      <c r="CL39" s="53"/>
      <c r="CM39" s="55"/>
      <c r="CN39" s="55"/>
      <c r="CO39" s="54">
        <f t="shared" si="4"/>
        <v>0</v>
      </c>
      <c r="CP39" s="55"/>
      <c r="CQ39" s="53"/>
      <c r="CR39" s="53"/>
      <c r="CS39" s="54"/>
      <c r="CT39" s="54"/>
      <c r="CU39" s="54"/>
      <c r="CV39" s="53"/>
      <c r="CW39" s="53"/>
      <c r="CX39" s="53"/>
      <c r="CY39" s="53"/>
      <c r="CZ39" s="53"/>
      <c r="DA39" s="53"/>
      <c r="DB39" s="53"/>
      <c r="DC39" s="55"/>
      <c r="DD39" s="55"/>
      <c r="DE39" s="54"/>
      <c r="DF39" s="55">
        <f t="shared" si="5"/>
        <v>0</v>
      </c>
      <c r="DG39" s="54"/>
      <c r="DH39" s="54">
        <f t="shared" si="6"/>
        <v>16</v>
      </c>
      <c r="DI39" s="54">
        <f t="shared" si="7"/>
        <v>0</v>
      </c>
      <c r="DJ39" s="53">
        <f t="shared" si="8"/>
        <v>4</v>
      </c>
      <c r="DK39" s="53">
        <f t="shared" si="9"/>
        <v>12</v>
      </c>
    </row>
    <row r="40" spans="1:115" x14ac:dyDescent="0.35">
      <c r="A40" s="56"/>
      <c r="B40" s="57" t="s">
        <v>71</v>
      </c>
      <c r="C40" s="58">
        <v>6</v>
      </c>
      <c r="D40" s="57">
        <v>378</v>
      </c>
      <c r="E40" s="59">
        <v>100842580</v>
      </c>
      <c r="F40" s="60" t="s">
        <v>78</v>
      </c>
      <c r="G40" s="61">
        <v>2</v>
      </c>
      <c r="H40" s="61"/>
      <c r="I40" s="62"/>
      <c r="J40" s="62"/>
      <c r="K40" s="62"/>
      <c r="L40" s="62"/>
      <c r="M40" s="63"/>
      <c r="N40" s="63"/>
      <c r="O40" s="63"/>
      <c r="P40" s="63"/>
      <c r="Q40" s="62"/>
      <c r="R40" s="62"/>
      <c r="S40" s="62"/>
      <c r="T40" s="62"/>
      <c r="U40" s="62"/>
      <c r="V40" s="62"/>
      <c r="W40" s="62"/>
      <c r="X40" s="63"/>
      <c r="Y40" s="63">
        <f t="shared" si="0"/>
        <v>0</v>
      </c>
      <c r="Z40" s="63"/>
      <c r="AA40" s="62"/>
      <c r="AB40" s="63">
        <v>2</v>
      </c>
      <c r="AC40" s="63">
        <v>2</v>
      </c>
      <c r="AD40" s="63">
        <v>2</v>
      </c>
      <c r="AE40" s="63">
        <v>2</v>
      </c>
      <c r="AF40" s="62">
        <v>2</v>
      </c>
      <c r="AG40" s="63">
        <v>2</v>
      </c>
      <c r="AH40" s="62">
        <v>2</v>
      </c>
      <c r="AI40" s="62">
        <v>2</v>
      </c>
      <c r="AJ40" s="62"/>
      <c r="AK40" s="62"/>
      <c r="AL40" s="62"/>
      <c r="AM40" s="62"/>
      <c r="AN40" s="62"/>
      <c r="AO40" s="63"/>
      <c r="AP40" s="63">
        <f t="shared" si="1"/>
        <v>16</v>
      </c>
      <c r="AQ40" s="62"/>
      <c r="AR40" s="62">
        <v>2</v>
      </c>
      <c r="AS40" s="63"/>
      <c r="AT40" s="62"/>
      <c r="AU40" s="62"/>
      <c r="AV40" s="62"/>
      <c r="AW40" s="62">
        <v>2</v>
      </c>
      <c r="AX40" s="62"/>
      <c r="AY40" s="63"/>
      <c r="AZ40" s="63">
        <v>2</v>
      </c>
      <c r="BA40" s="62"/>
      <c r="BB40" s="62"/>
      <c r="BC40" s="62"/>
      <c r="BD40" s="62"/>
      <c r="BE40" s="62"/>
      <c r="BF40" s="62"/>
      <c r="BG40" s="63">
        <f t="shared" si="2"/>
        <v>6</v>
      </c>
      <c r="BH40" s="63"/>
      <c r="BI40" s="63"/>
      <c r="BJ40" s="62"/>
      <c r="BK40" s="62"/>
      <c r="BL40" s="63"/>
      <c r="BM40" s="62"/>
      <c r="BN40" s="62"/>
      <c r="BO40" s="62"/>
      <c r="BP40" s="62"/>
      <c r="BQ40" s="63"/>
      <c r="BR40" s="62"/>
      <c r="BS40" s="62"/>
      <c r="BT40" s="62"/>
      <c r="BU40" s="62"/>
      <c r="BV40" s="62"/>
      <c r="BW40" s="62"/>
      <c r="BX40" s="63">
        <f t="shared" si="3"/>
        <v>0</v>
      </c>
      <c r="BY40" s="63"/>
      <c r="BZ40" s="62"/>
      <c r="CA40" s="62"/>
      <c r="CB40" s="62"/>
      <c r="CC40" s="62"/>
      <c r="CD40" s="62"/>
      <c r="CE40" s="62"/>
      <c r="CF40" s="62"/>
      <c r="CG40" s="62"/>
      <c r="CH40" s="62"/>
      <c r="CI40" s="63"/>
      <c r="CJ40" s="62"/>
      <c r="CK40" s="62"/>
      <c r="CL40" s="62"/>
      <c r="CM40" s="62"/>
      <c r="CN40" s="62"/>
      <c r="CO40" s="63">
        <f t="shared" si="4"/>
        <v>0</v>
      </c>
      <c r="CP40" s="62"/>
      <c r="CQ40" s="62"/>
      <c r="CR40" s="62"/>
      <c r="CS40" s="63"/>
      <c r="CT40" s="63"/>
      <c r="CU40" s="63"/>
      <c r="CV40" s="62"/>
      <c r="CW40" s="62"/>
      <c r="CX40" s="62"/>
      <c r="CY40" s="62"/>
      <c r="CZ40" s="62"/>
      <c r="DA40" s="62"/>
      <c r="DB40" s="62"/>
      <c r="DC40" s="62"/>
      <c r="DD40" s="62"/>
      <c r="DE40" s="63"/>
      <c r="DF40" s="62">
        <f t="shared" si="5"/>
        <v>0</v>
      </c>
      <c r="DG40" s="63"/>
      <c r="DH40" s="63">
        <f t="shared" si="6"/>
        <v>22</v>
      </c>
      <c r="DI40" s="63">
        <f t="shared" si="7"/>
        <v>0</v>
      </c>
      <c r="DJ40" s="62">
        <f t="shared" si="8"/>
        <v>2</v>
      </c>
      <c r="DK40" s="62">
        <f t="shared" si="9"/>
        <v>20</v>
      </c>
    </row>
    <row r="41" spans="1:115" x14ac:dyDescent="0.35">
      <c r="A41" s="45"/>
      <c r="B41" s="46" t="s">
        <v>71</v>
      </c>
      <c r="C41" s="47">
        <v>6</v>
      </c>
      <c r="D41" s="48">
        <v>362</v>
      </c>
      <c r="E41" s="49">
        <v>100849433</v>
      </c>
      <c r="F41" s="50" t="s">
        <v>79</v>
      </c>
      <c r="G41" s="51">
        <v>4</v>
      </c>
      <c r="H41" s="51"/>
      <c r="I41" s="52"/>
      <c r="J41" s="53"/>
      <c r="K41" s="53"/>
      <c r="L41" s="53"/>
      <c r="M41" s="54"/>
      <c r="N41" s="54"/>
      <c r="O41" s="54"/>
      <c r="P41" s="54"/>
      <c r="Q41" s="53"/>
      <c r="R41" s="53"/>
      <c r="S41" s="53"/>
      <c r="T41" s="53"/>
      <c r="U41" s="53"/>
      <c r="V41" s="55"/>
      <c r="W41" s="55"/>
      <c r="X41" s="54"/>
      <c r="Y41" s="54">
        <f t="shared" si="0"/>
        <v>0</v>
      </c>
      <c r="Z41" s="54"/>
      <c r="AA41" s="53"/>
      <c r="AB41" s="54"/>
      <c r="AC41" s="54">
        <v>2</v>
      </c>
      <c r="AD41" s="54"/>
      <c r="AE41" s="54">
        <v>2</v>
      </c>
      <c r="AF41" s="53"/>
      <c r="AG41" s="54">
        <v>2</v>
      </c>
      <c r="AH41" s="53"/>
      <c r="AI41" s="53">
        <v>2</v>
      </c>
      <c r="AJ41" s="53"/>
      <c r="AK41" s="53"/>
      <c r="AL41" s="53"/>
      <c r="AM41" s="55"/>
      <c r="AN41" s="55"/>
      <c r="AO41" s="54"/>
      <c r="AP41" s="54">
        <f t="shared" si="1"/>
        <v>8</v>
      </c>
      <c r="AQ41" s="55"/>
      <c r="AR41" s="53"/>
      <c r="AS41" s="54">
        <v>2</v>
      </c>
      <c r="AT41" s="53">
        <v>2</v>
      </c>
      <c r="AU41" s="53"/>
      <c r="AV41" s="53"/>
      <c r="AW41" s="53"/>
      <c r="AX41" s="53">
        <v>2</v>
      </c>
      <c r="AY41" s="54">
        <v>2</v>
      </c>
      <c r="AZ41" s="54">
        <v>2</v>
      </c>
      <c r="BA41" s="53"/>
      <c r="BB41" s="53"/>
      <c r="BC41" s="53"/>
      <c r="BD41" s="53"/>
      <c r="BE41" s="55"/>
      <c r="BF41" s="55"/>
      <c r="BG41" s="54">
        <f t="shared" si="2"/>
        <v>10</v>
      </c>
      <c r="BH41" s="54"/>
      <c r="BI41" s="54"/>
      <c r="BJ41" s="53"/>
      <c r="BK41" s="53"/>
      <c r="BL41" s="54"/>
      <c r="BM41" s="53"/>
      <c r="BN41" s="53"/>
      <c r="BO41" s="53"/>
      <c r="BP41" s="53"/>
      <c r="BQ41" s="54"/>
      <c r="BR41" s="53"/>
      <c r="BS41" s="53"/>
      <c r="BT41" s="53"/>
      <c r="BU41" s="53"/>
      <c r="BV41" s="55"/>
      <c r="BW41" s="55"/>
      <c r="BX41" s="54">
        <f t="shared" si="3"/>
        <v>0</v>
      </c>
      <c r="BY41" s="54"/>
      <c r="BZ41" s="53"/>
      <c r="CA41" s="53"/>
      <c r="CB41" s="53"/>
      <c r="CC41" s="53"/>
      <c r="CD41" s="53"/>
      <c r="CE41" s="53"/>
      <c r="CF41" s="53"/>
      <c r="CG41" s="53"/>
      <c r="CH41" s="53"/>
      <c r="CI41" s="54"/>
      <c r="CJ41" s="53"/>
      <c r="CK41" s="53"/>
      <c r="CL41" s="53"/>
      <c r="CM41" s="55"/>
      <c r="CN41" s="55"/>
      <c r="CO41" s="54">
        <f t="shared" si="4"/>
        <v>0</v>
      </c>
      <c r="CP41" s="55"/>
      <c r="CQ41" s="53"/>
      <c r="CR41" s="53"/>
      <c r="CS41" s="54"/>
      <c r="CT41" s="54"/>
      <c r="CU41" s="54"/>
      <c r="CV41" s="53"/>
      <c r="CW41" s="53"/>
      <c r="CX41" s="53"/>
      <c r="CY41" s="53"/>
      <c r="CZ41" s="53"/>
      <c r="DA41" s="53"/>
      <c r="DB41" s="53"/>
      <c r="DC41" s="55"/>
      <c r="DD41" s="55"/>
      <c r="DE41" s="54"/>
      <c r="DF41" s="55">
        <f t="shared" si="5"/>
        <v>0</v>
      </c>
      <c r="DG41" s="54"/>
      <c r="DH41" s="54">
        <f t="shared" si="6"/>
        <v>18</v>
      </c>
      <c r="DI41" s="54">
        <f t="shared" si="7"/>
        <v>0</v>
      </c>
      <c r="DJ41" s="53">
        <f t="shared" si="8"/>
        <v>4</v>
      </c>
      <c r="DK41" s="53">
        <f t="shared" si="9"/>
        <v>14</v>
      </c>
    </row>
    <row r="42" spans="1:115" x14ac:dyDescent="0.35">
      <c r="A42" s="56"/>
      <c r="B42" s="57" t="s">
        <v>73</v>
      </c>
      <c r="C42" s="58">
        <v>5</v>
      </c>
      <c r="D42" s="57">
        <v>297</v>
      </c>
      <c r="E42" s="59">
        <v>100842732</v>
      </c>
      <c r="F42" s="60" t="s">
        <v>75</v>
      </c>
      <c r="G42" s="61">
        <v>2</v>
      </c>
      <c r="H42" s="61"/>
      <c r="I42" s="62"/>
      <c r="J42" s="62"/>
      <c r="K42" s="62"/>
      <c r="L42" s="62"/>
      <c r="M42" s="63"/>
      <c r="N42" s="63"/>
      <c r="O42" s="63"/>
      <c r="P42" s="63"/>
      <c r="Q42" s="62"/>
      <c r="R42" s="62"/>
      <c r="S42" s="62"/>
      <c r="T42" s="62"/>
      <c r="U42" s="62"/>
      <c r="V42" s="62"/>
      <c r="W42" s="62"/>
      <c r="X42" s="63"/>
      <c r="Y42" s="63">
        <f t="shared" si="0"/>
        <v>0</v>
      </c>
      <c r="Z42" s="63"/>
      <c r="AA42" s="62"/>
      <c r="AB42" s="63"/>
      <c r="AC42" s="63"/>
      <c r="AD42" s="63"/>
      <c r="AE42" s="63">
        <v>2</v>
      </c>
      <c r="AF42" s="62"/>
      <c r="AG42" s="63"/>
      <c r="AH42" s="62"/>
      <c r="AI42" s="62"/>
      <c r="AJ42" s="62"/>
      <c r="AK42" s="62"/>
      <c r="AL42" s="62"/>
      <c r="AM42" s="62"/>
      <c r="AN42" s="62"/>
      <c r="AO42" s="63"/>
      <c r="AP42" s="63">
        <f t="shared" si="1"/>
        <v>2</v>
      </c>
      <c r="AQ42" s="62"/>
      <c r="AR42" s="62"/>
      <c r="AS42" s="63"/>
      <c r="AT42" s="62"/>
      <c r="AU42" s="62"/>
      <c r="AV42" s="62"/>
      <c r="AW42" s="62"/>
      <c r="AX42" s="62"/>
      <c r="AY42" s="63"/>
      <c r="AZ42" s="63">
        <v>2</v>
      </c>
      <c r="BA42" s="62"/>
      <c r="BB42" s="62"/>
      <c r="BC42" s="62"/>
      <c r="BD42" s="62"/>
      <c r="BE42" s="62"/>
      <c r="BF42" s="62"/>
      <c r="BG42" s="63">
        <f t="shared" si="2"/>
        <v>2</v>
      </c>
      <c r="BH42" s="63"/>
      <c r="BI42" s="63"/>
      <c r="BJ42" s="62"/>
      <c r="BK42" s="62"/>
      <c r="BL42" s="63"/>
      <c r="BM42" s="62"/>
      <c r="BN42" s="62"/>
      <c r="BO42" s="62"/>
      <c r="BP42" s="62"/>
      <c r="BQ42" s="63"/>
      <c r="BR42" s="62"/>
      <c r="BS42" s="62"/>
      <c r="BT42" s="62"/>
      <c r="BU42" s="62"/>
      <c r="BV42" s="62"/>
      <c r="BW42" s="62"/>
      <c r="BX42" s="63">
        <f t="shared" si="3"/>
        <v>0</v>
      </c>
      <c r="BY42" s="63"/>
      <c r="BZ42" s="62"/>
      <c r="CA42" s="62"/>
      <c r="CB42" s="62"/>
      <c r="CC42" s="62"/>
      <c r="CD42" s="62"/>
      <c r="CE42" s="62"/>
      <c r="CF42" s="62"/>
      <c r="CG42" s="62"/>
      <c r="CH42" s="62"/>
      <c r="CI42" s="63"/>
      <c r="CJ42" s="62"/>
      <c r="CK42" s="62"/>
      <c r="CL42" s="62"/>
      <c r="CM42" s="62"/>
      <c r="CN42" s="62"/>
      <c r="CO42" s="63">
        <f t="shared" si="4"/>
        <v>0</v>
      </c>
      <c r="CP42" s="62"/>
      <c r="CQ42" s="62"/>
      <c r="CR42" s="62"/>
      <c r="CS42" s="63"/>
      <c r="CT42" s="63"/>
      <c r="CU42" s="63"/>
      <c r="CV42" s="62"/>
      <c r="CW42" s="62"/>
      <c r="CX42" s="62"/>
      <c r="CY42" s="62"/>
      <c r="CZ42" s="62"/>
      <c r="DA42" s="62"/>
      <c r="DB42" s="62"/>
      <c r="DC42" s="62"/>
      <c r="DD42" s="62"/>
      <c r="DE42" s="63"/>
      <c r="DF42" s="62">
        <f t="shared" si="5"/>
        <v>0</v>
      </c>
      <c r="DG42" s="63"/>
      <c r="DH42" s="63">
        <f t="shared" si="6"/>
        <v>4</v>
      </c>
      <c r="DI42" s="63">
        <f t="shared" si="7"/>
        <v>0</v>
      </c>
      <c r="DJ42" s="62">
        <f t="shared" si="8"/>
        <v>2</v>
      </c>
      <c r="DK42" s="62">
        <f t="shared" si="9"/>
        <v>2</v>
      </c>
    </row>
    <row r="43" spans="1:115" x14ac:dyDescent="0.35">
      <c r="A43" s="45"/>
      <c r="B43" s="46" t="s">
        <v>73</v>
      </c>
      <c r="C43" s="47">
        <v>5</v>
      </c>
      <c r="D43" s="48">
        <v>498</v>
      </c>
      <c r="E43" s="49">
        <v>100845334</v>
      </c>
      <c r="F43" s="50" t="s">
        <v>76</v>
      </c>
      <c r="G43" s="51">
        <v>2</v>
      </c>
      <c r="H43" s="51"/>
      <c r="I43" s="52"/>
      <c r="J43" s="53"/>
      <c r="K43" s="53"/>
      <c r="L43" s="53"/>
      <c r="M43" s="54"/>
      <c r="N43" s="54"/>
      <c r="O43" s="54"/>
      <c r="P43" s="54"/>
      <c r="Q43" s="53"/>
      <c r="R43" s="53"/>
      <c r="S43" s="53"/>
      <c r="T43" s="53"/>
      <c r="U43" s="53"/>
      <c r="V43" s="55"/>
      <c r="W43" s="55"/>
      <c r="X43" s="54"/>
      <c r="Y43" s="54">
        <f t="shared" si="0"/>
        <v>0</v>
      </c>
      <c r="Z43" s="54"/>
      <c r="AA43" s="53"/>
      <c r="AB43" s="54"/>
      <c r="AC43" s="54"/>
      <c r="AD43" s="54"/>
      <c r="AE43" s="54">
        <v>2</v>
      </c>
      <c r="AF43" s="53"/>
      <c r="AG43" s="54"/>
      <c r="AH43" s="53"/>
      <c r="AI43" s="53"/>
      <c r="AJ43" s="53"/>
      <c r="AK43" s="53"/>
      <c r="AL43" s="53"/>
      <c r="AM43" s="55"/>
      <c r="AN43" s="55"/>
      <c r="AO43" s="54"/>
      <c r="AP43" s="54">
        <f t="shared" si="1"/>
        <v>2</v>
      </c>
      <c r="AQ43" s="55"/>
      <c r="AR43" s="53"/>
      <c r="AS43" s="54"/>
      <c r="AT43" s="53"/>
      <c r="AU43" s="53"/>
      <c r="AV43" s="53"/>
      <c r="AW43" s="53"/>
      <c r="AX43" s="53"/>
      <c r="AY43" s="54"/>
      <c r="AZ43" s="54">
        <v>2</v>
      </c>
      <c r="BA43" s="53"/>
      <c r="BB43" s="53"/>
      <c r="BC43" s="53"/>
      <c r="BD43" s="53"/>
      <c r="BE43" s="55"/>
      <c r="BF43" s="55"/>
      <c r="BG43" s="54">
        <f t="shared" si="2"/>
        <v>2</v>
      </c>
      <c r="BH43" s="54"/>
      <c r="BI43" s="54"/>
      <c r="BJ43" s="53"/>
      <c r="BK43" s="53"/>
      <c r="BL43" s="54"/>
      <c r="BM43" s="53"/>
      <c r="BN43" s="53"/>
      <c r="BO43" s="53"/>
      <c r="BP43" s="53"/>
      <c r="BQ43" s="54"/>
      <c r="BR43" s="53"/>
      <c r="BS43" s="53"/>
      <c r="BT43" s="53"/>
      <c r="BU43" s="53"/>
      <c r="BV43" s="55"/>
      <c r="BW43" s="55"/>
      <c r="BX43" s="54">
        <f t="shared" si="3"/>
        <v>0</v>
      </c>
      <c r="BY43" s="54"/>
      <c r="BZ43" s="53"/>
      <c r="CA43" s="53"/>
      <c r="CB43" s="53"/>
      <c r="CC43" s="53"/>
      <c r="CD43" s="53"/>
      <c r="CE43" s="53"/>
      <c r="CF43" s="53"/>
      <c r="CG43" s="53"/>
      <c r="CH43" s="53"/>
      <c r="CI43" s="54"/>
      <c r="CJ43" s="53"/>
      <c r="CK43" s="53"/>
      <c r="CL43" s="53"/>
      <c r="CM43" s="55"/>
      <c r="CN43" s="55"/>
      <c r="CO43" s="54">
        <f t="shared" si="4"/>
        <v>0</v>
      </c>
      <c r="CP43" s="55"/>
      <c r="CQ43" s="53"/>
      <c r="CR43" s="53"/>
      <c r="CS43" s="54"/>
      <c r="CT43" s="54"/>
      <c r="CU43" s="54"/>
      <c r="CV43" s="53"/>
      <c r="CW43" s="53"/>
      <c r="CX43" s="53"/>
      <c r="CY43" s="53"/>
      <c r="CZ43" s="53"/>
      <c r="DA43" s="53"/>
      <c r="DB43" s="53"/>
      <c r="DC43" s="55"/>
      <c r="DD43" s="55"/>
      <c r="DE43" s="54"/>
      <c r="DF43" s="55">
        <f t="shared" si="5"/>
        <v>0</v>
      </c>
      <c r="DG43" s="54"/>
      <c r="DH43" s="54">
        <f t="shared" si="6"/>
        <v>4</v>
      </c>
      <c r="DI43" s="54">
        <f t="shared" si="7"/>
        <v>0</v>
      </c>
      <c r="DJ43" s="53">
        <f t="shared" si="8"/>
        <v>2</v>
      </c>
      <c r="DK43" s="53">
        <f t="shared" si="9"/>
        <v>2</v>
      </c>
    </row>
    <row r="44" spans="1:115" x14ac:dyDescent="0.35">
      <c r="A44" s="56"/>
      <c r="B44" s="57" t="s">
        <v>71</v>
      </c>
      <c r="C44" s="58">
        <v>6</v>
      </c>
      <c r="D44" s="57">
        <v>766</v>
      </c>
      <c r="E44" s="59">
        <v>100849802</v>
      </c>
      <c r="F44" s="60" t="s">
        <v>80</v>
      </c>
      <c r="G44" s="61">
        <v>2</v>
      </c>
      <c r="H44" s="61"/>
      <c r="I44" s="62"/>
      <c r="J44" s="62"/>
      <c r="K44" s="62"/>
      <c r="L44" s="62"/>
      <c r="M44" s="63"/>
      <c r="N44" s="63"/>
      <c r="O44" s="63"/>
      <c r="P44" s="63"/>
      <c r="Q44" s="62"/>
      <c r="R44" s="62"/>
      <c r="S44" s="62"/>
      <c r="T44" s="62"/>
      <c r="U44" s="62"/>
      <c r="V44" s="62"/>
      <c r="W44" s="62"/>
      <c r="X44" s="63"/>
      <c r="Y44" s="63">
        <f t="shared" si="0"/>
        <v>0</v>
      </c>
      <c r="Z44" s="63"/>
      <c r="AA44" s="62"/>
      <c r="AB44" s="63"/>
      <c r="AC44" s="63"/>
      <c r="AD44" s="63"/>
      <c r="AE44" s="63">
        <v>2</v>
      </c>
      <c r="AF44" s="62"/>
      <c r="AG44" s="63"/>
      <c r="AH44" s="62"/>
      <c r="AI44" s="62"/>
      <c r="AJ44" s="62"/>
      <c r="AK44" s="62"/>
      <c r="AL44" s="62"/>
      <c r="AM44" s="62"/>
      <c r="AN44" s="62"/>
      <c r="AO44" s="63"/>
      <c r="AP44" s="63">
        <f t="shared" si="1"/>
        <v>2</v>
      </c>
      <c r="AQ44" s="62"/>
      <c r="AR44" s="62"/>
      <c r="AS44" s="63"/>
      <c r="AT44" s="62"/>
      <c r="AU44" s="62"/>
      <c r="AV44" s="62"/>
      <c r="AW44" s="62"/>
      <c r="AX44" s="62"/>
      <c r="AY44" s="63">
        <v>2</v>
      </c>
      <c r="AZ44" s="63">
        <v>2</v>
      </c>
      <c r="BA44" s="62"/>
      <c r="BB44" s="62"/>
      <c r="BC44" s="62"/>
      <c r="BD44" s="62"/>
      <c r="BE44" s="62"/>
      <c r="BF44" s="62"/>
      <c r="BG44" s="63">
        <f t="shared" si="2"/>
        <v>4</v>
      </c>
      <c r="BH44" s="63"/>
      <c r="BI44" s="63"/>
      <c r="BJ44" s="62"/>
      <c r="BK44" s="62"/>
      <c r="BL44" s="63"/>
      <c r="BM44" s="62"/>
      <c r="BN44" s="62"/>
      <c r="BO44" s="62"/>
      <c r="BP44" s="62"/>
      <c r="BQ44" s="63"/>
      <c r="BR44" s="62"/>
      <c r="BS44" s="62"/>
      <c r="BT44" s="62"/>
      <c r="BU44" s="62"/>
      <c r="BV44" s="62"/>
      <c r="BW44" s="62"/>
      <c r="BX44" s="63">
        <f t="shared" si="3"/>
        <v>0</v>
      </c>
      <c r="BY44" s="63"/>
      <c r="BZ44" s="62"/>
      <c r="CA44" s="62"/>
      <c r="CB44" s="62"/>
      <c r="CC44" s="62"/>
      <c r="CD44" s="62"/>
      <c r="CE44" s="62"/>
      <c r="CF44" s="62"/>
      <c r="CG44" s="62"/>
      <c r="CH44" s="62"/>
      <c r="CI44" s="63"/>
      <c r="CJ44" s="62"/>
      <c r="CK44" s="62"/>
      <c r="CL44" s="62"/>
      <c r="CM44" s="62"/>
      <c r="CN44" s="62"/>
      <c r="CO44" s="63">
        <f t="shared" si="4"/>
        <v>0</v>
      </c>
      <c r="CP44" s="62"/>
      <c r="CQ44" s="62"/>
      <c r="CR44" s="62"/>
      <c r="CS44" s="63"/>
      <c r="CT44" s="63"/>
      <c r="CU44" s="63"/>
      <c r="CV44" s="62"/>
      <c r="CW44" s="62"/>
      <c r="CX44" s="62"/>
      <c r="CY44" s="62"/>
      <c r="CZ44" s="62"/>
      <c r="DA44" s="62"/>
      <c r="DB44" s="62"/>
      <c r="DC44" s="62"/>
      <c r="DD44" s="62"/>
      <c r="DE44" s="63"/>
      <c r="DF44" s="62">
        <f t="shared" si="5"/>
        <v>0</v>
      </c>
      <c r="DG44" s="63"/>
      <c r="DH44" s="63">
        <f t="shared" si="6"/>
        <v>6</v>
      </c>
      <c r="DI44" s="63">
        <f t="shared" si="7"/>
        <v>0</v>
      </c>
      <c r="DJ44" s="62">
        <f t="shared" si="8"/>
        <v>2</v>
      </c>
      <c r="DK44" s="62">
        <f t="shared" si="9"/>
        <v>4</v>
      </c>
    </row>
    <row r="45" spans="1:115" x14ac:dyDescent="0.35">
      <c r="A45" s="45"/>
      <c r="B45" s="46" t="s">
        <v>71</v>
      </c>
      <c r="C45" s="47">
        <v>6</v>
      </c>
      <c r="D45" s="48">
        <v>175</v>
      </c>
      <c r="E45" s="49">
        <v>100843638</v>
      </c>
      <c r="F45" s="50" t="s">
        <v>81</v>
      </c>
      <c r="G45" s="51">
        <v>2</v>
      </c>
      <c r="H45" s="51"/>
      <c r="I45" s="52"/>
      <c r="J45" s="53"/>
      <c r="K45" s="53"/>
      <c r="L45" s="53"/>
      <c r="M45" s="54"/>
      <c r="N45" s="54"/>
      <c r="O45" s="54"/>
      <c r="P45" s="54"/>
      <c r="Q45" s="53"/>
      <c r="R45" s="53"/>
      <c r="S45" s="53"/>
      <c r="T45" s="53"/>
      <c r="U45" s="53"/>
      <c r="V45" s="55"/>
      <c r="W45" s="55"/>
      <c r="X45" s="54"/>
      <c r="Y45" s="54">
        <f t="shared" si="0"/>
        <v>0</v>
      </c>
      <c r="Z45" s="54"/>
      <c r="AA45" s="53"/>
      <c r="AB45" s="54"/>
      <c r="AC45" s="54"/>
      <c r="AD45" s="54"/>
      <c r="AE45" s="54">
        <v>2</v>
      </c>
      <c r="AF45" s="53"/>
      <c r="AG45" s="54"/>
      <c r="AH45" s="53"/>
      <c r="AI45" s="53">
        <v>2</v>
      </c>
      <c r="AJ45" s="53"/>
      <c r="AK45" s="53"/>
      <c r="AL45" s="53"/>
      <c r="AM45" s="55"/>
      <c r="AN45" s="55"/>
      <c r="AO45" s="54"/>
      <c r="AP45" s="54">
        <f t="shared" si="1"/>
        <v>4</v>
      </c>
      <c r="AQ45" s="55"/>
      <c r="AR45" s="53"/>
      <c r="AS45" s="54"/>
      <c r="AT45" s="53"/>
      <c r="AU45" s="53"/>
      <c r="AV45" s="53"/>
      <c r="AW45" s="53"/>
      <c r="AX45" s="53"/>
      <c r="AY45" s="54"/>
      <c r="AZ45" s="54">
        <v>2</v>
      </c>
      <c r="BA45" s="53"/>
      <c r="BB45" s="53"/>
      <c r="BC45" s="53"/>
      <c r="BD45" s="53"/>
      <c r="BE45" s="55"/>
      <c r="BF45" s="55"/>
      <c r="BG45" s="54">
        <f t="shared" si="2"/>
        <v>2</v>
      </c>
      <c r="BH45" s="54"/>
      <c r="BI45" s="54">
        <v>2</v>
      </c>
      <c r="BJ45" s="53"/>
      <c r="BK45" s="53"/>
      <c r="BL45" s="54"/>
      <c r="BM45" s="53"/>
      <c r="BN45" s="53"/>
      <c r="BO45" s="53"/>
      <c r="BP45" s="53"/>
      <c r="BQ45" s="54"/>
      <c r="BR45" s="53"/>
      <c r="BS45" s="53"/>
      <c r="BT45" s="53"/>
      <c r="BU45" s="53"/>
      <c r="BV45" s="55"/>
      <c r="BW45" s="55"/>
      <c r="BX45" s="54">
        <f t="shared" si="3"/>
        <v>2</v>
      </c>
      <c r="BY45" s="54"/>
      <c r="BZ45" s="53"/>
      <c r="CA45" s="53"/>
      <c r="CB45" s="53"/>
      <c r="CC45" s="53"/>
      <c r="CD45" s="53"/>
      <c r="CE45" s="53"/>
      <c r="CF45" s="53"/>
      <c r="CG45" s="53"/>
      <c r="CH45" s="53"/>
      <c r="CI45" s="54"/>
      <c r="CJ45" s="53"/>
      <c r="CK45" s="53"/>
      <c r="CL45" s="53"/>
      <c r="CM45" s="55"/>
      <c r="CN45" s="55"/>
      <c r="CO45" s="54">
        <f t="shared" si="4"/>
        <v>0</v>
      </c>
      <c r="CP45" s="55"/>
      <c r="CQ45" s="53"/>
      <c r="CR45" s="53"/>
      <c r="CS45" s="54"/>
      <c r="CT45" s="54"/>
      <c r="CU45" s="54"/>
      <c r="CV45" s="53"/>
      <c r="CW45" s="53"/>
      <c r="CX45" s="53"/>
      <c r="CY45" s="53"/>
      <c r="CZ45" s="53"/>
      <c r="DA45" s="53"/>
      <c r="DB45" s="53"/>
      <c r="DC45" s="55"/>
      <c r="DD45" s="55"/>
      <c r="DE45" s="54"/>
      <c r="DF45" s="55">
        <f t="shared" si="5"/>
        <v>0</v>
      </c>
      <c r="DG45" s="54"/>
      <c r="DH45" s="54">
        <f t="shared" si="6"/>
        <v>8</v>
      </c>
      <c r="DI45" s="54">
        <f t="shared" si="7"/>
        <v>0</v>
      </c>
      <c r="DJ45" s="53">
        <f t="shared" si="8"/>
        <v>2</v>
      </c>
      <c r="DK45" s="53">
        <f t="shared" si="9"/>
        <v>6</v>
      </c>
    </row>
    <row r="46" spans="1:115" x14ac:dyDescent="0.35">
      <c r="A46" s="56"/>
      <c r="B46" s="57" t="s">
        <v>71</v>
      </c>
      <c r="C46" s="58">
        <v>5</v>
      </c>
      <c r="D46" s="57">
        <v>535</v>
      </c>
      <c r="E46" s="59">
        <v>100848709</v>
      </c>
      <c r="F46" s="60" t="s">
        <v>72</v>
      </c>
      <c r="G46" s="61">
        <v>2</v>
      </c>
      <c r="H46" s="61"/>
      <c r="I46" s="62"/>
      <c r="J46" s="62"/>
      <c r="K46" s="62"/>
      <c r="L46" s="62"/>
      <c r="M46" s="63"/>
      <c r="N46" s="63"/>
      <c r="O46" s="63"/>
      <c r="P46" s="63"/>
      <c r="Q46" s="62"/>
      <c r="R46" s="62"/>
      <c r="S46" s="62"/>
      <c r="T46" s="62"/>
      <c r="U46" s="62"/>
      <c r="V46" s="62"/>
      <c r="W46" s="62"/>
      <c r="X46" s="63"/>
      <c r="Y46" s="63">
        <f t="shared" si="0"/>
        <v>0</v>
      </c>
      <c r="Z46" s="63"/>
      <c r="AA46" s="62"/>
      <c r="AB46" s="63"/>
      <c r="AC46" s="63"/>
      <c r="AD46" s="63"/>
      <c r="AE46" s="63">
        <v>2</v>
      </c>
      <c r="AF46" s="62"/>
      <c r="AG46" s="63">
        <v>2</v>
      </c>
      <c r="AH46" s="62">
        <v>2</v>
      </c>
      <c r="AI46" s="62">
        <v>2</v>
      </c>
      <c r="AJ46" s="62"/>
      <c r="AK46" s="62"/>
      <c r="AL46" s="62"/>
      <c r="AM46" s="62"/>
      <c r="AN46" s="62"/>
      <c r="AO46" s="63"/>
      <c r="AP46" s="63">
        <f t="shared" si="1"/>
        <v>8</v>
      </c>
      <c r="AQ46" s="62"/>
      <c r="AR46" s="62"/>
      <c r="AS46" s="63"/>
      <c r="AT46" s="62"/>
      <c r="AU46" s="62"/>
      <c r="AV46" s="62"/>
      <c r="AW46" s="62"/>
      <c r="AX46" s="62"/>
      <c r="AY46" s="63"/>
      <c r="AZ46" s="63">
        <v>2</v>
      </c>
      <c r="BA46" s="62"/>
      <c r="BB46" s="62"/>
      <c r="BC46" s="62"/>
      <c r="BD46" s="62"/>
      <c r="BE46" s="62"/>
      <c r="BF46" s="62"/>
      <c r="BG46" s="63">
        <f t="shared" si="2"/>
        <v>2</v>
      </c>
      <c r="BH46" s="63"/>
      <c r="BI46" s="63"/>
      <c r="BJ46" s="62">
        <v>2</v>
      </c>
      <c r="BK46" s="62"/>
      <c r="BL46" s="63"/>
      <c r="BM46" s="62"/>
      <c r="BN46" s="62"/>
      <c r="BO46" s="62"/>
      <c r="BP46" s="62"/>
      <c r="BQ46" s="63"/>
      <c r="BR46" s="62"/>
      <c r="BS46" s="62"/>
      <c r="BT46" s="62"/>
      <c r="BU46" s="62"/>
      <c r="BV46" s="62"/>
      <c r="BW46" s="62"/>
      <c r="BX46" s="63">
        <f t="shared" si="3"/>
        <v>2</v>
      </c>
      <c r="BY46" s="63"/>
      <c r="BZ46" s="62"/>
      <c r="CA46" s="62"/>
      <c r="CB46" s="62"/>
      <c r="CC46" s="62"/>
      <c r="CD46" s="62"/>
      <c r="CE46" s="62"/>
      <c r="CF46" s="62"/>
      <c r="CG46" s="62"/>
      <c r="CH46" s="62"/>
      <c r="CI46" s="63"/>
      <c r="CJ46" s="62"/>
      <c r="CK46" s="62"/>
      <c r="CL46" s="62"/>
      <c r="CM46" s="62"/>
      <c r="CN46" s="62"/>
      <c r="CO46" s="63">
        <f t="shared" si="4"/>
        <v>0</v>
      </c>
      <c r="CP46" s="62"/>
      <c r="CQ46" s="62"/>
      <c r="CR46" s="62"/>
      <c r="CS46" s="63"/>
      <c r="CT46" s="63"/>
      <c r="CU46" s="63"/>
      <c r="CV46" s="62"/>
      <c r="CW46" s="62"/>
      <c r="CX46" s="62"/>
      <c r="CY46" s="62"/>
      <c r="CZ46" s="62"/>
      <c r="DA46" s="62"/>
      <c r="DB46" s="62"/>
      <c r="DC46" s="62"/>
      <c r="DD46" s="62"/>
      <c r="DE46" s="63"/>
      <c r="DF46" s="62">
        <f t="shared" si="5"/>
        <v>0</v>
      </c>
      <c r="DG46" s="63"/>
      <c r="DH46" s="63">
        <f t="shared" si="6"/>
        <v>12</v>
      </c>
      <c r="DI46" s="63">
        <f t="shared" si="7"/>
        <v>0</v>
      </c>
      <c r="DJ46" s="62">
        <f t="shared" si="8"/>
        <v>2</v>
      </c>
      <c r="DK46" s="62">
        <f t="shared" si="9"/>
        <v>10</v>
      </c>
    </row>
    <row r="47" spans="1:115" x14ac:dyDescent="0.35">
      <c r="A47" s="45"/>
      <c r="B47" s="46" t="s">
        <v>73</v>
      </c>
      <c r="C47" s="47">
        <v>6</v>
      </c>
      <c r="D47" s="48">
        <v>468</v>
      </c>
      <c r="E47" s="49">
        <v>100844013</v>
      </c>
      <c r="F47" s="50" t="s">
        <v>84</v>
      </c>
      <c r="G47" s="51">
        <v>2</v>
      </c>
      <c r="H47" s="51"/>
      <c r="I47" s="52"/>
      <c r="J47" s="53"/>
      <c r="K47" s="53"/>
      <c r="L47" s="53"/>
      <c r="M47" s="54"/>
      <c r="N47" s="54"/>
      <c r="O47" s="54"/>
      <c r="P47" s="54"/>
      <c r="Q47" s="53"/>
      <c r="R47" s="53"/>
      <c r="S47" s="53"/>
      <c r="T47" s="53"/>
      <c r="U47" s="53"/>
      <c r="V47" s="55"/>
      <c r="W47" s="55"/>
      <c r="X47" s="54"/>
      <c r="Y47" s="54">
        <f t="shared" si="0"/>
        <v>0</v>
      </c>
      <c r="Z47" s="54"/>
      <c r="AA47" s="53"/>
      <c r="AB47" s="54"/>
      <c r="AC47" s="54"/>
      <c r="AD47" s="54"/>
      <c r="AE47" s="54">
        <v>2</v>
      </c>
      <c r="AF47" s="53"/>
      <c r="AG47" s="54"/>
      <c r="AH47" s="53"/>
      <c r="AI47" s="53"/>
      <c r="AJ47" s="53"/>
      <c r="AK47" s="53"/>
      <c r="AL47" s="53"/>
      <c r="AM47" s="55"/>
      <c r="AN47" s="55"/>
      <c r="AO47" s="54"/>
      <c r="AP47" s="54">
        <f t="shared" si="1"/>
        <v>2</v>
      </c>
      <c r="AQ47" s="55"/>
      <c r="AR47" s="53"/>
      <c r="AS47" s="54"/>
      <c r="AT47" s="53"/>
      <c r="AU47" s="53"/>
      <c r="AV47" s="53"/>
      <c r="AW47" s="53"/>
      <c r="AX47" s="53">
        <v>2</v>
      </c>
      <c r="AY47" s="54"/>
      <c r="AZ47" s="54">
        <v>2</v>
      </c>
      <c r="BA47" s="53"/>
      <c r="BB47" s="53"/>
      <c r="BC47" s="53"/>
      <c r="BD47" s="53"/>
      <c r="BE47" s="55"/>
      <c r="BF47" s="55"/>
      <c r="BG47" s="54">
        <f t="shared" si="2"/>
        <v>4</v>
      </c>
      <c r="BH47" s="54"/>
      <c r="BI47" s="54"/>
      <c r="BJ47" s="53"/>
      <c r="BK47" s="53"/>
      <c r="BL47" s="54"/>
      <c r="BM47" s="53"/>
      <c r="BN47" s="53"/>
      <c r="BO47" s="53"/>
      <c r="BP47" s="53"/>
      <c r="BQ47" s="54"/>
      <c r="BR47" s="53"/>
      <c r="BS47" s="53"/>
      <c r="BT47" s="53"/>
      <c r="BU47" s="53"/>
      <c r="BV47" s="55"/>
      <c r="BW47" s="55"/>
      <c r="BX47" s="54">
        <f t="shared" si="3"/>
        <v>0</v>
      </c>
      <c r="BY47" s="54"/>
      <c r="BZ47" s="53"/>
      <c r="CA47" s="53"/>
      <c r="CB47" s="53"/>
      <c r="CC47" s="53"/>
      <c r="CD47" s="53"/>
      <c r="CE47" s="53"/>
      <c r="CF47" s="53"/>
      <c r="CG47" s="53"/>
      <c r="CH47" s="53"/>
      <c r="CI47" s="54"/>
      <c r="CJ47" s="53"/>
      <c r="CK47" s="53"/>
      <c r="CL47" s="53"/>
      <c r="CM47" s="55"/>
      <c r="CN47" s="55"/>
      <c r="CO47" s="54">
        <f t="shared" si="4"/>
        <v>0</v>
      </c>
      <c r="CP47" s="55"/>
      <c r="CQ47" s="53"/>
      <c r="CR47" s="53"/>
      <c r="CS47" s="54"/>
      <c r="CT47" s="54"/>
      <c r="CU47" s="54"/>
      <c r="CV47" s="53"/>
      <c r="CW47" s="53"/>
      <c r="CX47" s="53"/>
      <c r="CY47" s="53"/>
      <c r="CZ47" s="53"/>
      <c r="DA47" s="53"/>
      <c r="DB47" s="53"/>
      <c r="DC47" s="55"/>
      <c r="DD47" s="55"/>
      <c r="DE47" s="54"/>
      <c r="DF47" s="55">
        <f t="shared" si="5"/>
        <v>0</v>
      </c>
      <c r="DG47" s="54"/>
      <c r="DH47" s="54">
        <f t="shared" si="6"/>
        <v>6</v>
      </c>
      <c r="DI47" s="54">
        <f t="shared" si="7"/>
        <v>0</v>
      </c>
      <c r="DJ47" s="53">
        <f t="shared" si="8"/>
        <v>2</v>
      </c>
      <c r="DK47" s="53">
        <f t="shared" si="9"/>
        <v>4</v>
      </c>
    </row>
  </sheetData>
  <sortState ref="A39:DK50">
    <sortCondition ref="F39:F50"/>
  </sortState>
  <dataConsolidate/>
  <mergeCells count="13">
    <mergeCell ref="G6:G7"/>
    <mergeCell ref="J2:S2"/>
    <mergeCell ref="T2:U2"/>
    <mergeCell ref="J3:S3"/>
    <mergeCell ref="T3:U3"/>
    <mergeCell ref="H6:H7"/>
    <mergeCell ref="J6:Y6"/>
    <mergeCell ref="CQ6:DF6"/>
    <mergeCell ref="DH6:DK6"/>
    <mergeCell ref="AA6:AP6"/>
    <mergeCell ref="AR6:BG6"/>
    <mergeCell ref="BI6:BX6"/>
    <mergeCell ref="BZ6:CO6"/>
  </mergeCells>
  <phoneticPr fontId="0" type="noConversion"/>
  <conditionalFormatting sqref="AR6 BI6 BZ6 AA6 J6 CU7:DE7 CQ6 J1">
    <cfRule type="cellIs" dxfId="598" priority="730" stopIfTrue="1" operator="equal">
      <formula>"a"</formula>
    </cfRule>
  </conditionalFormatting>
  <conditionalFormatting sqref="DD29 DD31 DD33 DD35 DD38 DD40 DD42 DD44 DD46">
    <cfRule type="cellIs" dxfId="597" priority="566" stopIfTrue="1" operator="equal">
      <formula>0</formula>
    </cfRule>
  </conditionalFormatting>
  <conditionalFormatting sqref="CX29 CX31 CX33 CX35 CX38 CX40 CX42 CX44 CX46">
    <cfRule type="cellIs" dxfId="596" priority="563" stopIfTrue="1" operator="equal">
      <formula>"J"</formula>
    </cfRule>
  </conditionalFormatting>
  <conditionalFormatting sqref="AH29 AH31 AH33 AH35 AH38 AH40 AH42 AH44 AH46">
    <cfRule type="cellIs" dxfId="595" priority="548" stopIfTrue="1" operator="equal">
      <formula>"J"</formula>
    </cfRule>
  </conditionalFormatting>
  <conditionalFormatting sqref="AT29 AT31 AT33 AT35 AT38 AT40 AT42 AT44 AT46">
    <cfRule type="cellIs" dxfId="594" priority="545" stopIfTrue="1" operator="equal">
      <formula>"J"</formula>
    </cfRule>
  </conditionalFormatting>
  <conditionalFormatting sqref="AW29 AW31 AW33 AW35 AW38 AW40 AW42 AW44 AW46">
    <cfRule type="cellIs" dxfId="593" priority="542" stopIfTrue="1" operator="equal">
      <formula>"J"</formula>
    </cfRule>
  </conditionalFormatting>
  <conditionalFormatting sqref="BM29 BM31 BM33 BM35 BM38 BM40 BM42 BM44 BM46">
    <cfRule type="cellIs" dxfId="592" priority="536" stopIfTrue="1" operator="equal">
      <formula>"J"</formula>
    </cfRule>
  </conditionalFormatting>
  <conditionalFormatting sqref="BP29 BP31 BP33 BP35 BP38 BP40 BP42 BP44 BP46">
    <cfRule type="cellIs" dxfId="591" priority="533" stopIfTrue="1" operator="equal">
      <formula>"J"</formula>
    </cfRule>
  </conditionalFormatting>
  <conditionalFormatting sqref="CB29 CB31 CB33 CB35 CB38 CB40 CB42 CB44 CB46">
    <cfRule type="cellIs" dxfId="590" priority="530" stopIfTrue="1" operator="equal">
      <formula>"J"</formula>
    </cfRule>
  </conditionalFormatting>
  <conditionalFormatting sqref="CE29 CE31 CE33 CE35 CE38 CE40 CE42 CE44 CE46">
    <cfRule type="cellIs" dxfId="589" priority="527" stopIfTrue="1" operator="equal">
      <formula>"J"</formula>
    </cfRule>
  </conditionalFormatting>
  <conditionalFormatting sqref="CH29 CH31 CH33 CH35 CH38 CH40 CH42 CH44 CH46">
    <cfRule type="cellIs" dxfId="588" priority="524" stopIfTrue="1" operator="equal">
      <formula>"J"</formula>
    </cfRule>
  </conditionalFormatting>
  <conditionalFormatting sqref="BK29 BK31 BK33 BK35 BK38 BK40 BK42 BK44 BK46">
    <cfRule type="cellIs" dxfId="587" priority="521" stopIfTrue="1" operator="equal">
      <formula>"J"</formula>
    </cfRule>
  </conditionalFormatting>
  <conditionalFormatting sqref="AQ28 AQ30 AQ32 AQ34 AQ36 AQ39 AQ41 AQ43 AQ45 AQ47 V28 V30 V32 V34 V36 V39 V41 V43 V45 V47">
    <cfRule type="cellIs" dxfId="586" priority="517" stopIfTrue="1" operator="equal">
      <formula>0</formula>
    </cfRule>
  </conditionalFormatting>
  <conditionalFormatting sqref="J28 J30 J32 J34 J36 J39 J41 J43 J45 J47 Q28:U28 Q30:U30 Q32:U32 Q34:U34 Q36:U36 Q39:U39 Q41:U41 Q43:U43 Q45:U45 Q47:U47 L28 L30 L32 L34 L36 L39 L41 L43 L45 L47">
    <cfRule type="cellIs" dxfId="585" priority="518" stopIfTrue="1" operator="equal">
      <formula>"J"</formula>
    </cfRule>
  </conditionalFormatting>
  <conditionalFormatting sqref="BE28 BE30 BE32 BE34 BE36 BE39 BE41 BE43 BE45 BE47">
    <cfRule type="cellIs" dxfId="584" priority="511" stopIfTrue="1" operator="equal">
      <formula>0</formula>
    </cfRule>
  </conditionalFormatting>
  <conditionalFormatting sqref="BB28:BD28 BB30:BD30 BB32:BD32 BB34:BD34 BB36:BD36 BB39:BD39 BB41:BD41 BB43:BD43 BB45:BD45 BB47:BD47">
    <cfRule type="cellIs" dxfId="583" priority="512" stopIfTrue="1" operator="equal">
      <formula>"J"</formula>
    </cfRule>
  </conditionalFormatting>
  <conditionalFormatting sqref="BF28 BF30 BF32 BF34 BF36 BF39 BF41 BF43 BF45 BF47">
    <cfRule type="cellIs" dxfId="582" priority="508" stopIfTrue="1" operator="equal">
      <formula>0</formula>
    </cfRule>
  </conditionalFormatting>
  <conditionalFormatting sqref="CN28 CN30 CN32 CN34 CN36 CN39 CN41 CN43 CN45 CN47">
    <cfRule type="cellIs" dxfId="581" priority="487" stopIfTrue="1" operator="equal">
      <formula>0</formula>
    </cfRule>
  </conditionalFormatting>
  <conditionalFormatting sqref="CX28 CX30 CX32 CX34 CX36 CX39 CX41 CX43 CX45 CX47">
    <cfRule type="cellIs" dxfId="580" priority="479" stopIfTrue="1" operator="equal">
      <formula>"J"</formula>
    </cfRule>
  </conditionalFormatting>
  <conditionalFormatting sqref="AH28 AH30 AH32 AH34 AH36 AH39 AH41 AH43 AH45 AH47">
    <cfRule type="cellIs" dxfId="579" priority="464" stopIfTrue="1" operator="equal">
      <formula>"J"</formula>
    </cfRule>
  </conditionalFormatting>
  <conditionalFormatting sqref="AT28 AT30 AT32 AT34 AT36 AT39 AT41 AT43 AT45 AT47">
    <cfRule type="cellIs" dxfId="578" priority="461" stopIfTrue="1" operator="equal">
      <formula>"J"</formula>
    </cfRule>
  </conditionalFormatting>
  <conditionalFormatting sqref="AW28 AW30 AW32 AW34 AW36 AW39 AW41 AW43 AW45 AW47">
    <cfRule type="cellIs" dxfId="577" priority="458" stopIfTrue="1" operator="equal">
      <formula>"J"</formula>
    </cfRule>
  </conditionalFormatting>
  <conditionalFormatting sqref="BM28 BM30 BM32 BM34 BM36 BM39 BM41 BM43 BM45 BM47">
    <cfRule type="cellIs" dxfId="576" priority="452" stopIfTrue="1" operator="equal">
      <formula>"J"</formula>
    </cfRule>
  </conditionalFormatting>
  <conditionalFormatting sqref="BP28 BP30 BP32 BP34 BP36 BP39 BP41 BP43 BP45 BP47">
    <cfRule type="cellIs" dxfId="575" priority="449" stopIfTrue="1" operator="equal">
      <formula>"J"</formula>
    </cfRule>
  </conditionalFormatting>
  <conditionalFormatting sqref="CE28 CE30 CE32 CE34 CE36 CE39 CE41 CE43 CE45 CE47">
    <cfRule type="cellIs" dxfId="574" priority="443" stopIfTrue="1" operator="equal">
      <formula>"J"</formula>
    </cfRule>
  </conditionalFormatting>
  <conditionalFormatting sqref="CH28 CH30 CH32 CH34 CH36 CH39 CH41 CH43 CH45 CH47">
    <cfRule type="cellIs" dxfId="573" priority="440" stopIfTrue="1" operator="equal">
      <formula>"J"</formula>
    </cfRule>
  </conditionalFormatting>
  <conditionalFormatting sqref="BK28 BK30 BK32 BK34 BK36 BK39 BK41 BK43 BK45 BK47">
    <cfRule type="cellIs" dxfId="572" priority="437" stopIfTrue="1" operator="equal">
      <formula>"J"</formula>
    </cfRule>
  </conditionalFormatting>
  <conditionalFormatting sqref="AQ29 AQ31 AQ33 AQ35 AQ38 AQ40 AQ42 AQ44 AQ46 V29 V31 V33 V35 V38 V40 V42 V44 V46">
    <cfRule type="cellIs" dxfId="571" priority="601" stopIfTrue="1" operator="equal">
      <formula>0</formula>
    </cfRule>
  </conditionalFormatting>
  <conditionalFormatting sqref="J29 J31 J33 J35 J38 J40 J42 J44 J46 Q29:U29 Q31:U31 Q33:U33 Q35:U35 Q38:U38 Q40:U40 Q42:U42 Q44:U44 Q46:U46 L29 L31 L33 L35 L38 L40 L42 L44 L46">
    <cfRule type="cellIs" dxfId="570" priority="602" stopIfTrue="1" operator="equal">
      <formula>"J"</formula>
    </cfRule>
  </conditionalFormatting>
  <conditionalFormatting sqref="W29 W31 W33 W35 W38 W40 W42 W44 W46">
    <cfRule type="cellIs" dxfId="569" priority="597" stopIfTrue="1" operator="equal">
      <formula>0</formula>
    </cfRule>
  </conditionalFormatting>
  <conditionalFormatting sqref="BE29 BE31 BE33 BE35 BE38 BE40 BE42 BE44 BE46">
    <cfRule type="cellIs" dxfId="568" priority="595" stopIfTrue="1" operator="equal">
      <formula>0</formula>
    </cfRule>
  </conditionalFormatting>
  <conditionalFormatting sqref="BB29:BD29 BB31:BD31 BB33:BD33 BB35:BD35 BB38:BD38 BB40:BD40 BB42:BD42 BB44:BD44 BB46:BD46">
    <cfRule type="cellIs" dxfId="567" priority="596" stopIfTrue="1" operator="equal">
      <formula>"J"</formula>
    </cfRule>
  </conditionalFormatting>
  <conditionalFormatting sqref="BW29 BW31 BW33 BW35 BW38 BW40 BW42 BW44 BW46">
    <cfRule type="cellIs" dxfId="566" priority="582" stopIfTrue="1" operator="equal">
      <formula>0</formula>
    </cfRule>
  </conditionalFormatting>
  <conditionalFormatting sqref="DF29 DF31 DF33 DF35 DF38 DF40 DF42 DF44 DF46">
    <cfRule type="cellIs" dxfId="565" priority="579" stopIfTrue="1" operator="equal">
      <formula>0</formula>
    </cfRule>
  </conditionalFormatting>
  <conditionalFormatting sqref="CN29 CN31 CN33 CN35 CN38 CN40 CN42 CN44 CN46">
    <cfRule type="cellIs" dxfId="564" priority="571" stopIfTrue="1" operator="equal">
      <formula>0</formula>
    </cfRule>
  </conditionalFormatting>
  <conditionalFormatting sqref="DC29 DC31 DC33 DC35 DC38 DC40 DC42 DC44 DC46">
    <cfRule type="cellIs" dxfId="563" priority="569" stopIfTrue="1" operator="equal">
      <formula>0</formula>
    </cfRule>
  </conditionalFormatting>
  <conditionalFormatting sqref="CY29:DB29 CY31:DB31 CY33:DB33 CY35:DB35 CY38:DB38 CY40:DB40 CY42:DB42 CY44:DB44 CY46:DB46">
    <cfRule type="cellIs" dxfId="562" priority="570" stopIfTrue="1" operator="equal">
      <formula>"J"</formula>
    </cfRule>
  </conditionalFormatting>
  <conditionalFormatting sqref="CW29 CW31 CW33 CW35 CW38 CW40 CW42 CW44 CW46">
    <cfRule type="cellIs" dxfId="561" priority="564" stopIfTrue="1" operator="equal">
      <formula>"J"</formula>
    </cfRule>
  </conditionalFormatting>
  <conditionalFormatting sqref="AF29 AF31 AF33 AF35 AF38 AF40 AF42 AF44 AF46">
    <cfRule type="cellIs" dxfId="560" priority="549" stopIfTrue="1" operator="equal">
      <formula>"J"</formula>
    </cfRule>
  </conditionalFormatting>
  <conditionalFormatting sqref="AR29 AR31 AR33 AR35 AR38 AR40 AR42 AR44 AR46">
    <cfRule type="cellIs" dxfId="559" priority="546" stopIfTrue="1" operator="equal">
      <formula>"J"</formula>
    </cfRule>
  </conditionalFormatting>
  <conditionalFormatting sqref="AV29 AV31 AV33 AV35 AV38 AV40 AV42 AV44 AV46">
    <cfRule type="cellIs" dxfId="558" priority="543" stopIfTrue="1" operator="equal">
      <formula>"J"</formula>
    </cfRule>
  </conditionalFormatting>
  <conditionalFormatting sqref="BJ29 BJ31 BJ33 BJ35 BJ38 BJ40 BJ42 BJ44 BJ46">
    <cfRule type="cellIs" dxfId="557" priority="537" stopIfTrue="1" operator="equal">
      <formula>"J"</formula>
    </cfRule>
  </conditionalFormatting>
  <conditionalFormatting sqref="BO29 BO31 BO33 BO35 BO38 BO40 BO42 BO44 BO46">
    <cfRule type="cellIs" dxfId="556" priority="534" stopIfTrue="1" operator="equal">
      <formula>"J"</formula>
    </cfRule>
  </conditionalFormatting>
  <conditionalFormatting sqref="CA29 CA31 CA33 CA35 CA38 CA40 CA42 CA44 CA46">
    <cfRule type="cellIs" dxfId="555" priority="531" stopIfTrue="1" operator="equal">
      <formula>"J"</formula>
    </cfRule>
  </conditionalFormatting>
  <conditionalFormatting sqref="CD29 CD31 CD33 CD35 CD38 CD40 CD42 CD44 CD46">
    <cfRule type="cellIs" dxfId="554" priority="528" stopIfTrue="1" operator="equal">
      <formula>"J"</formula>
    </cfRule>
  </conditionalFormatting>
  <conditionalFormatting sqref="CG29 CG31 CG33 CG35 CG38 CG40 CG42 CG44 CG46">
    <cfRule type="cellIs" dxfId="553" priority="525" stopIfTrue="1" operator="equal">
      <formula>"J"</formula>
    </cfRule>
  </conditionalFormatting>
  <conditionalFormatting sqref="CQ29 CQ31 CQ33 CQ35 CQ38 CQ40 CQ42 CQ44 CQ46">
    <cfRule type="cellIs" dxfId="552" priority="523" stopIfTrue="1" operator="equal">
      <formula>"J"</formula>
    </cfRule>
  </conditionalFormatting>
  <conditionalFormatting sqref="BF29 BF31 BF33 BF35 BF38 BF40 BF42 BF44 BF46">
    <cfRule type="cellIs" dxfId="551" priority="592" stopIfTrue="1" operator="equal">
      <formula>0</formula>
    </cfRule>
  </conditionalFormatting>
  <conditionalFormatting sqref="AM29 AM31 AM33 AM35 AM38 AM40 AM42 AM44 AM46">
    <cfRule type="cellIs" dxfId="550" priority="590" stopIfTrue="1" operator="equal">
      <formula>0</formula>
    </cfRule>
  </conditionalFormatting>
  <conditionalFormatting sqref="AJ29:AL29 AJ31:AL31 AJ33:AL33 AJ35:AL35 AJ38:AL38 AJ40:AL40 AJ42:AL42 AJ44:AL44 AJ46:AL46">
    <cfRule type="cellIs" dxfId="549" priority="591" stopIfTrue="1" operator="equal">
      <formula>"J"</formula>
    </cfRule>
  </conditionalFormatting>
  <conditionalFormatting sqref="CM29 CM31 CM33 CM35 CM38 CM40 CM42 CM44 CM46">
    <cfRule type="cellIs" dxfId="548" priority="573" stopIfTrue="1" operator="equal">
      <formula>0</formula>
    </cfRule>
  </conditionalFormatting>
  <conditionalFormatting sqref="CJ29:CL29 CJ31:CL31 CJ33:CL33 CJ35:CL35 CJ38:CL38 CJ40:CL40 CJ42:CL42 CJ44:CL44 CJ46:CL46">
    <cfRule type="cellIs" dxfId="547" priority="574" stopIfTrue="1" operator="equal">
      <formula>"J"</formula>
    </cfRule>
  </conditionalFormatting>
  <conditionalFormatting sqref="CV29 CV31 CV33 CV35 CV38 CV40 CV42 CV44 CV46">
    <cfRule type="cellIs" dxfId="546" priority="565" stopIfTrue="1" operator="equal">
      <formula>"J"</formula>
    </cfRule>
  </conditionalFormatting>
  <conditionalFormatting sqref="AI29 AI31 AI33 AI35 AI38 AI40 AI42 AI44 AI46">
    <cfRule type="cellIs" dxfId="545" priority="547" stopIfTrue="1" operator="equal">
      <formula>"J"</formula>
    </cfRule>
  </conditionalFormatting>
  <conditionalFormatting sqref="AU29 AU31 AU33 AU35 AU38 AU40 AU42 AU44 AU46">
    <cfRule type="cellIs" dxfId="544" priority="544" stopIfTrue="1" operator="equal">
      <formula>"J"</formula>
    </cfRule>
  </conditionalFormatting>
  <conditionalFormatting sqref="AX29 AX31 AX33 AX35 AX38 AX40 AX42 AX44 AX46">
    <cfRule type="cellIs" dxfId="543" priority="541" stopIfTrue="1" operator="equal">
      <formula>"J"</formula>
    </cfRule>
  </conditionalFormatting>
  <conditionalFormatting sqref="BA29 BA31 BA33 BA35 BA38 BA40 BA42 BA44 BA46">
    <cfRule type="cellIs" dxfId="542" priority="538" stopIfTrue="1" operator="equal">
      <formula>"J"</formula>
    </cfRule>
  </conditionalFormatting>
  <conditionalFormatting sqref="BN29 BN31 BN33 BN35 BN38 BN40 BN42 BN44 BN46">
    <cfRule type="cellIs" dxfId="541" priority="535" stopIfTrue="1" operator="equal">
      <formula>"J"</formula>
    </cfRule>
  </conditionalFormatting>
  <conditionalFormatting sqref="BZ29 BZ31 BZ33 BZ35 BZ38 BZ40 BZ42 BZ44 BZ46">
    <cfRule type="cellIs" dxfId="540" priority="532" stopIfTrue="1" operator="equal">
      <formula>"J"</formula>
    </cfRule>
  </conditionalFormatting>
  <conditionalFormatting sqref="CC29 CC31 CC33 CC35 CC38 CC40 CC42 CC44 CC46">
    <cfRule type="cellIs" dxfId="539" priority="529" stopIfTrue="1" operator="equal">
      <formula>"J"</formula>
    </cfRule>
  </conditionalFormatting>
  <conditionalFormatting sqref="CF29 CF31 CF33 CF35 CF38 CF40 CF42 CF44 CF46">
    <cfRule type="cellIs" dxfId="538" priority="526" stopIfTrue="1" operator="equal">
      <formula>"J"</formula>
    </cfRule>
  </conditionalFormatting>
  <conditionalFormatting sqref="X29 X31 X33 X35 X38 X40 X42 X44 X46">
    <cfRule type="cellIs" dxfId="537" priority="600" operator="equal">
      <formula>"J"</formula>
    </cfRule>
  </conditionalFormatting>
  <conditionalFormatting sqref="M29:N29 M31:N31 M33:N33 M35:N35 M38:N38 M40:N40 M42:N42 M44:N44 M46:N46">
    <cfRule type="cellIs" dxfId="536" priority="599" operator="equal">
      <formula>"J"</formula>
    </cfRule>
  </conditionalFormatting>
  <conditionalFormatting sqref="Y29:Z29 Y31:Z31 Y33:Z33 Y35:Z35 Y38:Z38 Y40:Z40 Y42:Z42 Y44:Z44 Y46:Z46">
    <cfRule type="cellIs" dxfId="535" priority="598" operator="equal">
      <formula>"J"</formula>
    </cfRule>
  </conditionalFormatting>
  <conditionalFormatting sqref="BG29 BG31 BG33 BG35 BG38 BG40 BG42 BG44 BG46">
    <cfRule type="cellIs" dxfId="534" priority="594" operator="equal">
      <formula>"J"</formula>
    </cfRule>
  </conditionalFormatting>
  <conditionalFormatting sqref="BH29 BH31 BH33 BH35 BH38 BH40 BH42 BH44 BH46">
    <cfRule type="cellIs" dxfId="533" priority="593" operator="equal">
      <formula>"J"</formula>
    </cfRule>
  </conditionalFormatting>
  <conditionalFormatting sqref="AO29 AO31 AO33 AO35 AO38 AO40 AO42 AO44 AO46">
    <cfRule type="cellIs" dxfId="532" priority="589" operator="equal">
      <formula>"J"</formula>
    </cfRule>
  </conditionalFormatting>
  <conditionalFormatting sqref="AP29 AP31 AP33 AP35 AP38 AP40 AP42 AP44 AP46">
    <cfRule type="cellIs" dxfId="531" priority="588" operator="equal">
      <formula>"J"</formula>
    </cfRule>
  </conditionalFormatting>
  <conditionalFormatting sqref="AN29 AN31 AN33 AN35 AN38 AN40 AN42 AN44 AN46">
    <cfRule type="cellIs" dxfId="530" priority="587" stopIfTrue="1" operator="equal">
      <formula>0</formula>
    </cfRule>
  </conditionalFormatting>
  <conditionalFormatting sqref="BV29 BV31 BV33 BV35 BV38 BV40 BV42 BV44 BV46">
    <cfRule type="cellIs" dxfId="529" priority="585" stopIfTrue="1" operator="equal">
      <formula>0</formula>
    </cfRule>
  </conditionalFormatting>
  <conditionalFormatting sqref="BR29:BU29 BR31:BU31 BR33:BU33 BR35:BU35 BR38:BU38 BR40:BU40 BR42:BU42 BR44:BU44 BR46:BU46">
    <cfRule type="cellIs" dxfId="528" priority="586" stopIfTrue="1" operator="equal">
      <formula>"J"</formula>
    </cfRule>
  </conditionalFormatting>
  <conditionalFormatting sqref="BX29 BX31 BX33 BX35 BX38 BX40 BX42 BX44 BX46">
    <cfRule type="cellIs" dxfId="527" priority="584" operator="equal">
      <formula>"J"</formula>
    </cfRule>
  </conditionalFormatting>
  <conditionalFormatting sqref="BY29 BY31 BY33 BY35 BY38 BY40 BY42 BY44 BY46">
    <cfRule type="cellIs" dxfId="526" priority="583" operator="equal">
      <formula>"J"</formula>
    </cfRule>
  </conditionalFormatting>
  <conditionalFormatting sqref="DG29 DG31 DG33 DG35 DG38 DG40 DG42 DG44 DG46">
    <cfRule type="cellIs" dxfId="525" priority="581" operator="equal">
      <formula>"J"</formula>
    </cfRule>
  </conditionalFormatting>
  <conditionalFormatting sqref="DH29 DH31 DH33 DH35 DH38 DH40 DH42 DH44 DH46">
    <cfRule type="cellIs" dxfId="524" priority="580" operator="equal">
      <formula>"J"</formula>
    </cfRule>
  </conditionalFormatting>
  <conditionalFormatting sqref="CP29 CP31 CP33 CP35 CP38 CP40 CP42 CP44 CP46">
    <cfRule type="cellIs" dxfId="523" priority="578" stopIfTrue="1" operator="equal">
      <formula>0</formula>
    </cfRule>
  </conditionalFormatting>
  <conditionalFormatting sqref="DJ29 DJ31 DJ33 DJ35 DJ38 DJ40 DJ42 DJ44 DJ46">
    <cfRule type="cellIs" dxfId="522" priority="577" stopIfTrue="1" operator="equal">
      <formula>"J"</formula>
    </cfRule>
  </conditionalFormatting>
  <conditionalFormatting sqref="O29 O31 O33 O35 O38 O40 O42 O44 O46">
    <cfRule type="cellIs" dxfId="521" priority="576" operator="equal">
      <formula>"J"</formula>
    </cfRule>
  </conditionalFormatting>
  <conditionalFormatting sqref="P29 P31 P33 P35 P38 P40 P42 P44 P46">
    <cfRule type="cellIs" dxfId="520" priority="575" operator="equal">
      <formula>"J"</formula>
    </cfRule>
  </conditionalFormatting>
  <conditionalFormatting sqref="CO29 CO31 CO33 CO35 CO38 CO40 CO42 CO44 CO46">
    <cfRule type="cellIs" dxfId="519" priority="572" operator="equal">
      <formula>"J"</formula>
    </cfRule>
  </conditionalFormatting>
  <conditionalFormatting sqref="DE29 DE31 DE33 DE35 DE38 DE40 DE42 DE44 DE46">
    <cfRule type="cellIs" dxfId="518" priority="568" operator="equal">
      <formula>"J"</formula>
    </cfRule>
  </conditionalFormatting>
  <conditionalFormatting sqref="CU29 CU31 CU33 CU35 CU38 CU40 CU42 CU44 CU46">
    <cfRule type="cellIs" dxfId="517" priority="567" operator="equal">
      <formula>"J"</formula>
    </cfRule>
  </conditionalFormatting>
  <conditionalFormatting sqref="DI29 DI31 DI33 DI35 DI38 DI40 DI42 DI44 DI46">
    <cfRule type="cellIs" dxfId="516" priority="562" operator="equal">
      <formula>"J"</formula>
    </cfRule>
  </conditionalFormatting>
  <conditionalFormatting sqref="AB29 AB31 AB33 AB35 AB38 AB40 AB42 AB44 AB46">
    <cfRule type="cellIs" dxfId="515" priority="561" operator="equal">
      <formula>"J"</formula>
    </cfRule>
  </conditionalFormatting>
  <conditionalFormatting sqref="AG29 AG31 AG33 AG35 AG38 AG40 AG42 AG44 AG46">
    <cfRule type="cellIs" dxfId="514" priority="560" operator="equal">
      <formula>"J"</formula>
    </cfRule>
  </conditionalFormatting>
  <conditionalFormatting sqref="AS29 AS31 AS33 AS35 AS38 AS40 AS42 AS44 AS46">
    <cfRule type="cellIs" dxfId="513" priority="559" operator="equal">
      <formula>"J"</formula>
    </cfRule>
  </conditionalFormatting>
  <conditionalFormatting sqref="BI29 BI31 BI33 BI35 BI38 BI40 BI42 BI44 BI46">
    <cfRule type="cellIs" dxfId="512" priority="558" operator="equal">
      <formula>"J"</formula>
    </cfRule>
  </conditionalFormatting>
  <conditionalFormatting sqref="BL29 BL31 BL33 BL35 BL38 BL40 BL42 BL44 BL46">
    <cfRule type="cellIs" dxfId="511" priority="557" operator="equal">
      <formula>"J"</formula>
    </cfRule>
  </conditionalFormatting>
  <conditionalFormatting sqref="BQ29 BQ31 BQ33 BQ35 BQ38 BQ40 BQ42 BQ44 BQ46">
    <cfRule type="cellIs" dxfId="510" priority="556" operator="equal">
      <formula>"J"</formula>
    </cfRule>
  </conditionalFormatting>
  <conditionalFormatting sqref="CS29 CS31 CS33 CS35 CS38 CS40 CS42 CS44 CS46">
    <cfRule type="cellIs" dxfId="509" priority="555" operator="equal">
      <formula>"J"</formula>
    </cfRule>
  </conditionalFormatting>
  <conditionalFormatting sqref="CT29 CT31 CT33 CT35 CT38 CT40 CT42 CT44 CT46">
    <cfRule type="cellIs" dxfId="508" priority="554" operator="equal">
      <formula>"J"</formula>
    </cfRule>
  </conditionalFormatting>
  <conditionalFormatting sqref="CI29 CI31 CI33 CI35 CI38 CI40 CI42 CI44 CI46">
    <cfRule type="cellIs" dxfId="507" priority="553" operator="equal">
      <formula>"J"</formula>
    </cfRule>
  </conditionalFormatting>
  <conditionalFormatting sqref="AC29 AC31 AC33 AC35 AC38 AC40 AC42 AC44 AC46">
    <cfRule type="cellIs" dxfId="506" priority="552" operator="equal">
      <formula>"J"</formula>
    </cfRule>
  </conditionalFormatting>
  <conditionalFormatting sqref="AD29 AD31 AD33 AD35 AD38 AD40 AD42 AD44 AD46">
    <cfRule type="cellIs" dxfId="505" priority="551" operator="equal">
      <formula>"J"</formula>
    </cfRule>
  </conditionalFormatting>
  <conditionalFormatting sqref="AE29 AE31 AE33 AE35 AE38 AE40 AE42 AE44 AE46">
    <cfRule type="cellIs" dxfId="504" priority="550" operator="equal">
      <formula>"J"</formula>
    </cfRule>
  </conditionalFormatting>
  <conditionalFormatting sqref="CR29 CR31 CR33 CR35 CR38 CR40 CR42 CR44 CR46">
    <cfRule type="cellIs" dxfId="503" priority="522" stopIfTrue="1" operator="equal">
      <formula>"J"</formula>
    </cfRule>
  </conditionalFormatting>
  <conditionalFormatting sqref="DK29 DK31 DK33 DK35 DK38 DK40 DK42 DK44 DK46">
    <cfRule type="cellIs" dxfId="502" priority="520" stopIfTrue="1" operator="equal">
      <formula>"J"</formula>
    </cfRule>
  </conditionalFormatting>
  <conditionalFormatting sqref="AA29 AA31 AA33 AA35 AA38 AA40 AA42 AA44 AA46">
    <cfRule type="cellIs" dxfId="501" priority="519" stopIfTrue="1" operator="equal">
      <formula>"J"</formula>
    </cfRule>
  </conditionalFormatting>
  <conditionalFormatting sqref="AM28 AM30 AM32 AM34 AM36 AM39 AM41 AM43 AM45 AM47">
    <cfRule type="cellIs" dxfId="500" priority="506" stopIfTrue="1" operator="equal">
      <formula>0</formula>
    </cfRule>
  </conditionalFormatting>
  <conditionalFormatting sqref="AJ28:AL28 AJ30:AL30 AJ32:AL32 AJ34:AL34 AJ36:AL36 AJ39:AL39 AJ41:AL41 AJ43:AL43 AJ45:AL45 AJ47:AL47">
    <cfRule type="cellIs" dxfId="499" priority="507" stopIfTrue="1" operator="equal">
      <formula>"J"</formula>
    </cfRule>
  </conditionalFormatting>
  <conditionalFormatting sqref="AN28 AN30 AN32 AN34 AN36 AN39 AN41 AN43 AN45 AN47">
    <cfRule type="cellIs" dxfId="498" priority="503" stopIfTrue="1" operator="equal">
      <formula>0</formula>
    </cfRule>
  </conditionalFormatting>
  <conditionalFormatting sqref="CP28 CP30 CP32 CP34 CP36 CP39 CP41 CP43 CP45 CP47">
    <cfRule type="cellIs" dxfId="497" priority="494" stopIfTrue="1" operator="equal">
      <formula>0</formula>
    </cfRule>
  </conditionalFormatting>
  <conditionalFormatting sqref="CM28 CM30 CM32 CM34 CM36 CM39 CM41 CM43 CM45 CM47">
    <cfRule type="cellIs" dxfId="496" priority="489" stopIfTrue="1" operator="equal">
      <formula>0</formula>
    </cfRule>
  </conditionalFormatting>
  <conditionalFormatting sqref="CJ28:CL28 CJ30:CL30 CJ32:CL32 CJ34:CL34 CJ36:CL36 CJ39:CL39 CJ41:CL41 CJ43:CL43 CJ45:CL45 CJ47:CL47">
    <cfRule type="cellIs" dxfId="495" priority="490" stopIfTrue="1" operator="equal">
      <formula>"J"</formula>
    </cfRule>
  </conditionalFormatting>
  <conditionalFormatting sqref="CB28 CB30 CB32 CB34 CB36 CB39 CB41 CB43 CB45 CB47">
    <cfRule type="cellIs" dxfId="494" priority="446" stopIfTrue="1" operator="equal">
      <formula>"J"</formula>
    </cfRule>
  </conditionalFormatting>
  <conditionalFormatting sqref="W28 W30 W32 W34 W36 W39 W41 W43 W45 W47">
    <cfRule type="cellIs" dxfId="493" priority="513" stopIfTrue="1" operator="equal">
      <formula>0</formula>
    </cfRule>
  </conditionalFormatting>
  <conditionalFormatting sqref="BV28 BV30 BV32 BV34 BV36 BV39 BV41 BV43 BV45 BV47">
    <cfRule type="cellIs" dxfId="492" priority="501" stopIfTrue="1" operator="equal">
      <formula>0</formula>
    </cfRule>
  </conditionalFormatting>
  <conditionalFormatting sqref="BR28:BU28 BR30:BU30 BR32:BU32 BR34:BU34 BR36:BU36 BR39:BU39 BR41:BU41 BR43:BU43 BR45:BU45 BR47:BU47">
    <cfRule type="cellIs" dxfId="491" priority="502" stopIfTrue="1" operator="equal">
      <formula>"J"</formula>
    </cfRule>
  </conditionalFormatting>
  <conditionalFormatting sqref="BW28 BW30 BW32 BW34 BW36 BW39 BW41 BW43 BW45 BW47">
    <cfRule type="cellIs" dxfId="490" priority="498" stopIfTrue="1" operator="equal">
      <formula>0</formula>
    </cfRule>
  </conditionalFormatting>
  <conditionalFormatting sqref="DF28 DF30 DF32 DF34 DF36 DF39 DF41 DF43 DF45 DF47">
    <cfRule type="cellIs" dxfId="489" priority="495" stopIfTrue="1" operator="equal">
      <formula>0</formula>
    </cfRule>
  </conditionalFormatting>
  <conditionalFormatting sqref="DJ28 DJ30 DJ32 DJ34 DJ36 DJ39 DJ41 DJ43 DJ45 DJ47">
    <cfRule type="cellIs" dxfId="488" priority="493" stopIfTrue="1" operator="equal">
      <formula>"J"</formula>
    </cfRule>
  </conditionalFormatting>
  <conditionalFormatting sqref="CW28 CW30 CW32 CW34 CW36 CW39 CW41 CW43 CW45 CW47">
    <cfRule type="cellIs" dxfId="487" priority="480" stopIfTrue="1" operator="equal">
      <formula>"J"</formula>
    </cfRule>
  </conditionalFormatting>
  <conditionalFormatting sqref="AF28 AF30 AF32 AF34 AF36 AF39 AF41 AF43 AF45 AF47">
    <cfRule type="cellIs" dxfId="486" priority="465" stopIfTrue="1" operator="equal">
      <formula>"J"</formula>
    </cfRule>
  </conditionalFormatting>
  <conditionalFormatting sqref="AR28 AR30 AR32 AR34 AR36 AR39 AR41 AR43 AR45 AR47">
    <cfRule type="cellIs" dxfId="485" priority="462" stopIfTrue="1" operator="equal">
      <formula>"J"</formula>
    </cfRule>
  </conditionalFormatting>
  <conditionalFormatting sqref="AV28 AV30 AV32 AV34 AV36 AV39 AV41 AV43 AV45 AV47">
    <cfRule type="cellIs" dxfId="484" priority="459" stopIfTrue="1" operator="equal">
      <formula>"J"</formula>
    </cfRule>
  </conditionalFormatting>
  <conditionalFormatting sqref="BJ28 BJ30 BJ32 BJ34 BJ36 BJ39 BJ41 BJ43 BJ45 BJ47">
    <cfRule type="cellIs" dxfId="483" priority="453" stopIfTrue="1" operator="equal">
      <formula>"J"</formula>
    </cfRule>
  </conditionalFormatting>
  <conditionalFormatting sqref="BO28 BO30 BO32 BO34 BO36 BO39 BO41 BO43 BO45 BO47">
    <cfRule type="cellIs" dxfId="482" priority="450" stopIfTrue="1" operator="equal">
      <formula>"J"</formula>
    </cfRule>
  </conditionalFormatting>
  <conditionalFormatting sqref="CA28 CA30 CA32 CA34 CA36 CA39 CA41 CA43 CA45 CA47">
    <cfRule type="cellIs" dxfId="481" priority="447" stopIfTrue="1" operator="equal">
      <formula>"J"</formula>
    </cfRule>
  </conditionalFormatting>
  <conditionalFormatting sqref="CD28 CD30 CD32 CD34 CD36 CD39 CD41 CD43 CD45 CD47">
    <cfRule type="cellIs" dxfId="480" priority="444" stopIfTrue="1" operator="equal">
      <formula>"J"</formula>
    </cfRule>
  </conditionalFormatting>
  <conditionalFormatting sqref="CG28 CG30 CG32 CG34 CG36 CG39 CG41 CG43 CG45 CG47">
    <cfRule type="cellIs" dxfId="479" priority="441" stopIfTrue="1" operator="equal">
      <formula>"J"</formula>
    </cfRule>
  </conditionalFormatting>
  <conditionalFormatting sqref="CQ28 CQ30 CQ32 CQ34 CQ36 CQ39 CQ41 CQ43 CQ45 CQ47">
    <cfRule type="cellIs" dxfId="478" priority="439" stopIfTrue="1" operator="equal">
      <formula>"J"</formula>
    </cfRule>
  </conditionalFormatting>
  <conditionalFormatting sqref="X28 X30 X32 X34 X36 X39 X41 X43 X45 X47">
    <cfRule type="cellIs" dxfId="477" priority="516" operator="equal">
      <formula>"J"</formula>
    </cfRule>
  </conditionalFormatting>
  <conditionalFormatting sqref="M28:N28 M30:N30 M32:N32 M34:N34 M36:N36 M39:N39 M41:N41 M43:N43 M45:N45 M47:N47">
    <cfRule type="cellIs" dxfId="476" priority="515" operator="equal">
      <formula>"J"</formula>
    </cfRule>
  </conditionalFormatting>
  <conditionalFormatting sqref="Y28:Z28 Y30:Z30 Y32:Z32 Y34:Z34 Y36:Z36 Y39:Z39 Y41:Z41 Y43:Z43 Y45:Z45 Y47:Z47">
    <cfRule type="cellIs" dxfId="475" priority="514" operator="equal">
      <formula>"J"</formula>
    </cfRule>
  </conditionalFormatting>
  <conditionalFormatting sqref="BG28 BG30 BG32 BG34 BG36 BG39 BG41 BG43 BG45 BG47">
    <cfRule type="cellIs" dxfId="474" priority="510" operator="equal">
      <formula>"J"</formula>
    </cfRule>
  </conditionalFormatting>
  <conditionalFormatting sqref="BH28 BH30 BH32 BH34 BH36 BH39 BH41 BH43 BH45 BH47">
    <cfRule type="cellIs" dxfId="473" priority="509" operator="equal">
      <formula>"J"</formula>
    </cfRule>
  </conditionalFormatting>
  <conditionalFormatting sqref="AO28 AO30 AO32 AO34 AO36 AO39 AO41 AO43 AO45 AO47">
    <cfRule type="cellIs" dxfId="472" priority="505" operator="equal">
      <formula>"J"</formula>
    </cfRule>
  </conditionalFormatting>
  <conditionalFormatting sqref="AP28 AP30 AP32 AP34 AP36 AP39 AP41 AP43 AP45 AP47">
    <cfRule type="cellIs" dxfId="471" priority="504" operator="equal">
      <formula>"J"</formula>
    </cfRule>
  </conditionalFormatting>
  <conditionalFormatting sqref="BX28 BX30 BX32 BX34 BX36 BX39 BX41 BX43 BX45 BX47">
    <cfRule type="cellIs" dxfId="470" priority="500" operator="equal">
      <formula>"J"</formula>
    </cfRule>
  </conditionalFormatting>
  <conditionalFormatting sqref="BY28 BY30 BY32 BY34 BY36 BY39 BY41 BY43 BY45 BY47">
    <cfRule type="cellIs" dxfId="469" priority="499" operator="equal">
      <formula>"J"</formula>
    </cfRule>
  </conditionalFormatting>
  <conditionalFormatting sqref="DG28 DG30 DG32 DG34 DG36 DG39 DG41 DG43 DG45 DG47">
    <cfRule type="cellIs" dxfId="468" priority="497" operator="equal">
      <formula>"J"</formula>
    </cfRule>
  </conditionalFormatting>
  <conditionalFormatting sqref="DH28 DH30 DH32 DH34 DH36 DH39 DH41 DH43 DH45 DH47">
    <cfRule type="cellIs" dxfId="467" priority="496" operator="equal">
      <formula>"J"</formula>
    </cfRule>
  </conditionalFormatting>
  <conditionalFormatting sqref="O28 O30 O32 O34 O36 O39 O41 O43 O45 O47">
    <cfRule type="cellIs" dxfId="466" priority="492" operator="equal">
      <formula>"J"</formula>
    </cfRule>
  </conditionalFormatting>
  <conditionalFormatting sqref="P28 P30 P32 P34 P36 P39 P41 P43 P45 P47">
    <cfRule type="cellIs" dxfId="465" priority="491" operator="equal">
      <formula>"J"</formula>
    </cfRule>
  </conditionalFormatting>
  <conditionalFormatting sqref="CV28 CV30 CV32 CV34 CV36 CV39 CV41 CV43 CV45 CV47">
    <cfRule type="cellIs" dxfId="464" priority="481" stopIfTrue="1" operator="equal">
      <formula>"J"</formula>
    </cfRule>
  </conditionalFormatting>
  <conditionalFormatting sqref="CO28 CO30 CO32 CO34 CO36 CO39 CO41 CO43 CO45 CO47">
    <cfRule type="cellIs" dxfId="463" priority="488" operator="equal">
      <formula>"J"</formula>
    </cfRule>
  </conditionalFormatting>
  <conditionalFormatting sqref="DC28 DC30 DC32 DC34 DC36 DC39 DC41 DC43 DC45 DC47">
    <cfRule type="cellIs" dxfId="462" priority="485" stopIfTrue="1" operator="equal">
      <formula>0</formula>
    </cfRule>
  </conditionalFormatting>
  <conditionalFormatting sqref="CY28:DB28 CY30:DB30 CY32:DB32 CY34:DB34 CY36:DB36 CY39:DB39 CY41:DB41 CY43:DB43 CY45:DB45 CY47:DB47">
    <cfRule type="cellIs" dxfId="461" priority="486" stopIfTrue="1" operator="equal">
      <formula>"J"</formula>
    </cfRule>
  </conditionalFormatting>
  <conditionalFormatting sqref="DE28 DE30 DE32 DE34 DE36 DE39 DE41 DE43 DE45 DE47">
    <cfRule type="cellIs" dxfId="460" priority="484" operator="equal">
      <formula>"J"</formula>
    </cfRule>
  </conditionalFormatting>
  <conditionalFormatting sqref="CU28 CU30 CU32 CU34 CU36 CU39 CU41 CU43 CU45 CU47">
    <cfRule type="cellIs" dxfId="459" priority="483" operator="equal">
      <formula>"J"</formula>
    </cfRule>
  </conditionalFormatting>
  <conditionalFormatting sqref="DD28 DD30 DD32 DD34 DD36 DD39 DD41 DD43 DD45 DD47">
    <cfRule type="cellIs" dxfId="458" priority="482" stopIfTrue="1" operator="equal">
      <formula>0</formula>
    </cfRule>
  </conditionalFormatting>
  <conditionalFormatting sqref="DI28 DI30 DI32 DI34 DI36 DI39 DI41 DI43 DI45 DI47">
    <cfRule type="cellIs" dxfId="457" priority="478" operator="equal">
      <formula>"J"</formula>
    </cfRule>
  </conditionalFormatting>
  <conditionalFormatting sqref="AB28 AB30 AB32 AB34 AB36 AB39 AB41 AB43 AB45 AB47">
    <cfRule type="cellIs" dxfId="456" priority="477" operator="equal">
      <formula>"J"</formula>
    </cfRule>
  </conditionalFormatting>
  <conditionalFormatting sqref="AG28 AG30 AG32 AG34 AG36 AG39 AG41 AG43 AG45 AG47">
    <cfRule type="cellIs" dxfId="455" priority="476" operator="equal">
      <formula>"J"</formula>
    </cfRule>
  </conditionalFormatting>
  <conditionalFormatting sqref="AS28 AS30 AS32 AS34 AS36 AS39 AS41 AS43 AS45 AS47">
    <cfRule type="cellIs" dxfId="454" priority="475" operator="equal">
      <formula>"J"</formula>
    </cfRule>
  </conditionalFormatting>
  <conditionalFormatting sqref="BI28 BI30 BI32 BI34 BI36 BI39 BI41 BI43 BI45 BI47">
    <cfRule type="cellIs" dxfId="453" priority="474" operator="equal">
      <formula>"J"</formula>
    </cfRule>
  </conditionalFormatting>
  <conditionalFormatting sqref="BL28 BL30 BL32 BL34 BL36 BL39 BL41 BL43 BL45 BL47">
    <cfRule type="cellIs" dxfId="452" priority="473" operator="equal">
      <formula>"J"</formula>
    </cfRule>
  </conditionalFormatting>
  <conditionalFormatting sqref="BQ28 BQ30 BQ32 BQ34 BQ36 BQ39 BQ41 BQ43 BQ45 BQ47">
    <cfRule type="cellIs" dxfId="451" priority="472" operator="equal">
      <formula>"J"</formula>
    </cfRule>
  </conditionalFormatting>
  <conditionalFormatting sqref="CS28 CS30 CS32 CS34 CS36 CS39 CS41 CS43 CS45 CS47">
    <cfRule type="cellIs" dxfId="450" priority="471" operator="equal">
      <formula>"J"</formula>
    </cfRule>
  </conditionalFormatting>
  <conditionalFormatting sqref="CT28 CT30 CT32 CT34 CT36 CT39 CT41 CT43 CT45 CT47">
    <cfRule type="cellIs" dxfId="449" priority="470" operator="equal">
      <formula>"J"</formula>
    </cfRule>
  </conditionalFormatting>
  <conditionalFormatting sqref="CI28 CI30 CI32 CI34 CI36 CI39 CI41 CI43 CI45 CI47">
    <cfRule type="cellIs" dxfId="448" priority="469" operator="equal">
      <formula>"J"</formula>
    </cfRule>
  </conditionalFormatting>
  <conditionalFormatting sqref="AC28 AC30 AC32 AC34 AC36 AC39 AC41 AC43 AC45 AC47">
    <cfRule type="cellIs" dxfId="447" priority="468" operator="equal">
      <formula>"J"</formula>
    </cfRule>
  </conditionalFormatting>
  <conditionalFormatting sqref="AD28 AD30 AD32 AD34 AD36 AD39 AD41 AD43 AD45 AD47">
    <cfRule type="cellIs" dxfId="446" priority="467" operator="equal">
      <formula>"J"</formula>
    </cfRule>
  </conditionalFormatting>
  <conditionalFormatting sqref="AE28 AE30 AE32 AE34 AE36 AE39 AE41 AE43 AE45 AE47">
    <cfRule type="cellIs" dxfId="445" priority="466" operator="equal">
      <formula>"J"</formula>
    </cfRule>
  </conditionalFormatting>
  <conditionalFormatting sqref="AI28 AI30 AI32 AI34 AI36 AI39 AI41 AI43 AI45 AI47">
    <cfRule type="cellIs" dxfId="444" priority="463" stopIfTrue="1" operator="equal">
      <formula>"J"</formula>
    </cfRule>
  </conditionalFormatting>
  <conditionalFormatting sqref="AU28 AU30 AU32 AU34 AU36 AU39 AU41 AU43 AU45 AU47">
    <cfRule type="cellIs" dxfId="443" priority="460" stopIfTrue="1" operator="equal">
      <formula>"J"</formula>
    </cfRule>
  </conditionalFormatting>
  <conditionalFormatting sqref="AX28 AX30 AX32 AX34 AX36 AX39 AX41 AX43 AX45 AX47">
    <cfRule type="cellIs" dxfId="442" priority="457" stopIfTrue="1" operator="equal">
      <formula>"J"</formula>
    </cfRule>
  </conditionalFormatting>
  <conditionalFormatting sqref="BA28 BA30 BA32 BA34 BA36 BA39 BA41 BA43 BA45 BA47">
    <cfRule type="cellIs" dxfId="441" priority="454" stopIfTrue="1" operator="equal">
      <formula>"J"</formula>
    </cfRule>
  </conditionalFormatting>
  <conditionalFormatting sqref="BN28 BN30 BN32 BN34 BN36 BN39 BN41 BN43 BN45 BN47">
    <cfRule type="cellIs" dxfId="440" priority="451" stopIfTrue="1" operator="equal">
      <formula>"J"</formula>
    </cfRule>
  </conditionalFormatting>
  <conditionalFormatting sqref="BZ28 BZ30 BZ32 BZ34 BZ36 BZ39 BZ41 BZ43 BZ45 BZ47">
    <cfRule type="cellIs" dxfId="439" priority="448" stopIfTrue="1" operator="equal">
      <formula>"J"</formula>
    </cfRule>
  </conditionalFormatting>
  <conditionalFormatting sqref="CC28 CC30 CC32 CC34 CC36 CC39 CC41 CC43 CC45 CC47">
    <cfRule type="cellIs" dxfId="438" priority="445" stopIfTrue="1" operator="equal">
      <formula>"J"</formula>
    </cfRule>
  </conditionalFormatting>
  <conditionalFormatting sqref="CF28 CF30 CF32 CF34 CF36 CF39 CF41 CF43 CF45 CF47">
    <cfRule type="cellIs" dxfId="437" priority="442" stopIfTrue="1" operator="equal">
      <formula>"J"</formula>
    </cfRule>
  </conditionalFormatting>
  <conditionalFormatting sqref="CR28 CR30 CR32 CR34 CR36 CR39 CR41 CR43 CR45 CR47">
    <cfRule type="cellIs" dxfId="436" priority="438" stopIfTrue="1" operator="equal">
      <formula>"J"</formula>
    </cfRule>
  </conditionalFormatting>
  <conditionalFormatting sqref="DK28 DK30 DK32 DK34 DK36 DK39 DK41 DK43 DK45 DK47">
    <cfRule type="cellIs" dxfId="435" priority="436" stopIfTrue="1" operator="equal">
      <formula>"J"</formula>
    </cfRule>
  </conditionalFormatting>
  <conditionalFormatting sqref="AA28 AA30 AA32 AA34 AA36 AA39 AA41 AA43 AA45 AA47">
    <cfRule type="cellIs" dxfId="434" priority="435" stopIfTrue="1" operator="equal">
      <formula>"J"</formula>
    </cfRule>
  </conditionalFormatting>
  <conditionalFormatting sqref="K28 K30 K32 K34 K36 K39 K41 K43 K45 K47">
    <cfRule type="cellIs" dxfId="433" priority="433" stopIfTrue="1" operator="equal">
      <formula>"J"</formula>
    </cfRule>
  </conditionalFormatting>
  <conditionalFormatting sqref="K29 K31 K33 K35 K38 K40 K42 K44 K46">
    <cfRule type="cellIs" dxfId="432" priority="434" stopIfTrue="1" operator="equal">
      <formula>"J"</formula>
    </cfRule>
  </conditionalFormatting>
  <conditionalFormatting sqref="K7:X7 AA7:AO7 BZ7:CN7 AR7:BF7 BI7:BW7">
    <cfRule type="cellIs" dxfId="431" priority="432" stopIfTrue="1" operator="equal">
      <formula>"a"</formula>
    </cfRule>
  </conditionalFormatting>
  <conditionalFormatting sqref="J7">
    <cfRule type="cellIs" dxfId="430" priority="431" stopIfTrue="1" operator="equal">
      <formula>"a"</formula>
    </cfRule>
  </conditionalFormatting>
  <conditionalFormatting sqref="CQ7:CT7">
    <cfRule type="cellIs" dxfId="429" priority="430" stopIfTrue="1" operator="equal">
      <formula>"a"</formula>
    </cfRule>
  </conditionalFormatting>
  <conditionalFormatting sqref="AY29 AY31 AY33 AY35 AY38 AY40 AY42 AY44 AY46">
    <cfRule type="cellIs" dxfId="428" priority="429" operator="equal">
      <formula>"J"</formula>
    </cfRule>
  </conditionalFormatting>
  <conditionalFormatting sqref="AY28 AY30 AY32 AY34 AY36 AY39 AY41 AY43 AY45 AY47">
    <cfRule type="cellIs" dxfId="427" priority="428" operator="equal">
      <formula>"J"</formula>
    </cfRule>
  </conditionalFormatting>
  <conditionalFormatting sqref="AZ29 AZ31 AZ33 AZ35 AZ38 AZ40 AZ42 AZ44 AZ46">
    <cfRule type="cellIs" dxfId="426" priority="427" operator="equal">
      <formula>"J"</formula>
    </cfRule>
  </conditionalFormatting>
  <conditionalFormatting sqref="AZ28 AZ30 AZ32 AZ34 AZ36 AZ39 AZ41 AZ43 AZ45 AZ47">
    <cfRule type="cellIs" dxfId="425" priority="426" operator="equal">
      <formula>"J"</formula>
    </cfRule>
  </conditionalFormatting>
  <conditionalFormatting sqref="DD15 DD17 DD19 DD21 DD23 DD25 DD27">
    <cfRule type="cellIs" dxfId="424" priority="389" stopIfTrue="1" operator="equal">
      <formula>0</formula>
    </cfRule>
  </conditionalFormatting>
  <conditionalFormatting sqref="CX15 CX17 CX19 CX21 CX23 CX25 CX27">
    <cfRule type="cellIs" dxfId="423" priority="386" stopIfTrue="1" operator="equal">
      <formula>"J"</formula>
    </cfRule>
  </conditionalFormatting>
  <conditionalFormatting sqref="AH15 AH17 AH19 AH21 AH23 AH25 AH27">
    <cfRule type="cellIs" dxfId="422" priority="371" stopIfTrue="1" operator="equal">
      <formula>"J"</formula>
    </cfRule>
  </conditionalFormatting>
  <conditionalFormatting sqref="AT15 AT17 AT19 AT21 AT23 AT25 AT27">
    <cfRule type="cellIs" dxfId="421" priority="368" stopIfTrue="1" operator="equal">
      <formula>"J"</formula>
    </cfRule>
  </conditionalFormatting>
  <conditionalFormatting sqref="AW15 AW17 AW19 AW21 AW23 AW25 AW27">
    <cfRule type="cellIs" dxfId="420" priority="365" stopIfTrue="1" operator="equal">
      <formula>"J"</formula>
    </cfRule>
  </conditionalFormatting>
  <conditionalFormatting sqref="BM15 BM17 BM19 BM21 BM23 BM25 BM27">
    <cfRule type="cellIs" dxfId="419" priority="361" stopIfTrue="1" operator="equal">
      <formula>"J"</formula>
    </cfRule>
  </conditionalFormatting>
  <conditionalFormatting sqref="BP15 BP17 BP19 BP21 BP23 BP25 BP27">
    <cfRule type="cellIs" dxfId="418" priority="358" stopIfTrue="1" operator="equal">
      <formula>"J"</formula>
    </cfRule>
  </conditionalFormatting>
  <conditionalFormatting sqref="CB15 CB17 CB19 CB21 CB23 CB25 CB27">
    <cfRule type="cellIs" dxfId="417" priority="355" stopIfTrue="1" operator="equal">
      <formula>"J"</formula>
    </cfRule>
  </conditionalFormatting>
  <conditionalFormatting sqref="CE15 CE17 CE19 CE21 CE23 CE25 CE27">
    <cfRule type="cellIs" dxfId="416" priority="352" stopIfTrue="1" operator="equal">
      <formula>"J"</formula>
    </cfRule>
  </conditionalFormatting>
  <conditionalFormatting sqref="CH15 CH17 CH19 CH21 CH23 CH25 CH27">
    <cfRule type="cellIs" dxfId="415" priority="349" stopIfTrue="1" operator="equal">
      <formula>"J"</formula>
    </cfRule>
  </conditionalFormatting>
  <conditionalFormatting sqref="BK15 BK17 BK19 BK21 BK23 BK25 BK27">
    <cfRule type="cellIs" dxfId="414" priority="346" stopIfTrue="1" operator="equal">
      <formula>"J"</formula>
    </cfRule>
  </conditionalFormatting>
  <conditionalFormatting sqref="AQ14 AQ16 AQ18 AQ20 AQ22 AQ24 AQ26 V14 V16 V18 V20 V22 V24 V26">
    <cfRule type="cellIs" dxfId="413" priority="342" stopIfTrue="1" operator="equal">
      <formula>0</formula>
    </cfRule>
  </conditionalFormatting>
  <conditionalFormatting sqref="J14 J16 J18 J20 J22 J24 J26 Q14:U14 Q16:U16 Q18:U18 Q20:U20 Q22:U22 Q24:U24 Q26:U26 L14 L16 L18 L20 L22 L24 L26">
    <cfRule type="cellIs" dxfId="412" priority="343" stopIfTrue="1" operator="equal">
      <formula>"J"</formula>
    </cfRule>
  </conditionalFormatting>
  <conditionalFormatting sqref="BE14 BE16 BE18 BE20 BE22 BE24 BE26">
    <cfRule type="cellIs" dxfId="411" priority="336" stopIfTrue="1" operator="equal">
      <formula>0</formula>
    </cfRule>
  </conditionalFormatting>
  <conditionalFormatting sqref="BB14:BD14 BB16:BD16 BB18:BD18 BB20:BD20 BB22:BD22 BB24:BD24 BB26:BD26">
    <cfRule type="cellIs" dxfId="410" priority="337" stopIfTrue="1" operator="equal">
      <formula>"J"</formula>
    </cfRule>
  </conditionalFormatting>
  <conditionalFormatting sqref="BF14 BF16 BF18 BF20 BF22 BF24 BF26">
    <cfRule type="cellIs" dxfId="409" priority="333" stopIfTrue="1" operator="equal">
      <formula>0</formula>
    </cfRule>
  </conditionalFormatting>
  <conditionalFormatting sqref="CN14 CN16 CN18 CN20 CN22 CN24 CN26">
    <cfRule type="cellIs" dxfId="408" priority="312" stopIfTrue="1" operator="equal">
      <formula>0</formula>
    </cfRule>
  </conditionalFormatting>
  <conditionalFormatting sqref="CX14 CX16 CX18 CX20 CX22 CX24 CX26">
    <cfRule type="cellIs" dxfId="407" priority="304" stopIfTrue="1" operator="equal">
      <formula>"J"</formula>
    </cfRule>
  </conditionalFormatting>
  <conditionalFormatting sqref="AH14 AH16 AH18 AH20 AH22 AH24 AH26">
    <cfRule type="cellIs" dxfId="406" priority="289" stopIfTrue="1" operator="equal">
      <formula>"J"</formula>
    </cfRule>
  </conditionalFormatting>
  <conditionalFormatting sqref="AT14 AT16 AT18 AT20 AT22 AT24 AT26">
    <cfRule type="cellIs" dxfId="405" priority="286" stopIfTrue="1" operator="equal">
      <formula>"J"</formula>
    </cfRule>
  </conditionalFormatting>
  <conditionalFormatting sqref="AW14 AW16 AW18 AW20 AW22 AW24 AW26">
    <cfRule type="cellIs" dxfId="404" priority="283" stopIfTrue="1" operator="equal">
      <formula>"J"</formula>
    </cfRule>
  </conditionalFormatting>
  <conditionalFormatting sqref="BM14 BM16 BM18 BM20 BM22 BM24 BM26">
    <cfRule type="cellIs" dxfId="403" priority="279" stopIfTrue="1" operator="equal">
      <formula>"J"</formula>
    </cfRule>
  </conditionalFormatting>
  <conditionalFormatting sqref="BP14 BP16 BP18 BP20 BP22 BP24 BP26">
    <cfRule type="cellIs" dxfId="402" priority="276" stopIfTrue="1" operator="equal">
      <formula>"J"</formula>
    </cfRule>
  </conditionalFormatting>
  <conditionalFormatting sqref="CE14 CE16 CE18 CE20 CE22 CE24 CE26">
    <cfRule type="cellIs" dxfId="401" priority="270" stopIfTrue="1" operator="equal">
      <formula>"J"</formula>
    </cfRule>
  </conditionalFormatting>
  <conditionalFormatting sqref="CH14 CH16 CH18 CH20 CH22 CH24 CH26">
    <cfRule type="cellIs" dxfId="400" priority="267" stopIfTrue="1" operator="equal">
      <formula>"J"</formula>
    </cfRule>
  </conditionalFormatting>
  <conditionalFormatting sqref="BK14 BK16 BK18 BK20 BK22 BK24 BK26">
    <cfRule type="cellIs" dxfId="399" priority="264" stopIfTrue="1" operator="equal">
      <formula>"J"</formula>
    </cfRule>
  </conditionalFormatting>
  <conditionalFormatting sqref="AQ15 AQ17 AQ19 AQ21 AQ23 AQ25 AQ27 V15 V17 V19 V21 V23 V25 V27">
    <cfRule type="cellIs" dxfId="398" priority="424" stopIfTrue="1" operator="equal">
      <formula>0</formula>
    </cfRule>
  </conditionalFormatting>
  <conditionalFormatting sqref="J15 J17 J19 J21 J23 J25 J27 Q15:U15 Q17:U17 Q19:U19 Q21:U21 Q23:U23 Q25:U25 Q27:U27 L15 L17 L19 L21 L23 L25 L27">
    <cfRule type="cellIs" dxfId="397" priority="425" stopIfTrue="1" operator="equal">
      <formula>"J"</formula>
    </cfRule>
  </conditionalFormatting>
  <conditionalFormatting sqref="W15 W17 W19 W21 W23 W25 W27">
    <cfRule type="cellIs" dxfId="396" priority="420" stopIfTrue="1" operator="equal">
      <formula>0</formula>
    </cfRule>
  </conditionalFormatting>
  <conditionalFormatting sqref="BE15 BE17 BE19 BE21 BE23 BE25 BE27">
    <cfRule type="cellIs" dxfId="395" priority="418" stopIfTrue="1" operator="equal">
      <formula>0</formula>
    </cfRule>
  </conditionalFormatting>
  <conditionalFormatting sqref="BB15:BD15 BB17:BD17 BB19:BD19 BB21:BD21 BB23:BD23 BB25:BD25 BB27:BD27">
    <cfRule type="cellIs" dxfId="394" priority="419" stopIfTrue="1" operator="equal">
      <formula>"J"</formula>
    </cfRule>
  </conditionalFormatting>
  <conditionalFormatting sqref="BW15 BW17 BW19 BW21 BW23 BW25 BW27">
    <cfRule type="cellIs" dxfId="393" priority="405" stopIfTrue="1" operator="equal">
      <formula>0</formula>
    </cfRule>
  </conditionalFormatting>
  <conditionalFormatting sqref="DF15 DF17 DF19 DF21 DF23 DF25 DF27">
    <cfRule type="cellIs" dxfId="392" priority="402" stopIfTrue="1" operator="equal">
      <formula>0</formula>
    </cfRule>
  </conditionalFormatting>
  <conditionalFormatting sqref="CN15 CN17 CN19 CN21 CN23 CN25 CN27">
    <cfRule type="cellIs" dxfId="391" priority="394" stopIfTrue="1" operator="equal">
      <formula>0</formula>
    </cfRule>
  </conditionalFormatting>
  <conditionalFormatting sqref="DC15 DC17 DC19 DC21 DC23 DC25 DC27">
    <cfRule type="cellIs" dxfId="390" priority="392" stopIfTrue="1" operator="equal">
      <formula>0</formula>
    </cfRule>
  </conditionalFormatting>
  <conditionalFormatting sqref="CY15:DB15 CY17:DB17 CY19:DB19 CY21:DB21 CY23:DB23 CY25:DB25 CY27:DB27">
    <cfRule type="cellIs" dxfId="389" priority="393" stopIfTrue="1" operator="equal">
      <formula>"J"</formula>
    </cfRule>
  </conditionalFormatting>
  <conditionalFormatting sqref="CW15 CW17 CW19 CW21 CW23 CW25 CW27">
    <cfRule type="cellIs" dxfId="388" priority="387" stopIfTrue="1" operator="equal">
      <formula>"J"</formula>
    </cfRule>
  </conditionalFormatting>
  <conditionalFormatting sqref="AF15 AF17 AF19 AF21 AF23 AF25 AF27">
    <cfRule type="cellIs" dxfId="387" priority="372" stopIfTrue="1" operator="equal">
      <formula>"J"</formula>
    </cfRule>
  </conditionalFormatting>
  <conditionalFormatting sqref="AR15 AR17 AR19 AR21 AR23 AR25 AR27">
    <cfRule type="cellIs" dxfId="386" priority="369" stopIfTrue="1" operator="equal">
      <formula>"J"</formula>
    </cfRule>
  </conditionalFormatting>
  <conditionalFormatting sqref="AV15 AV17 AV19 AV21 AV23 AV25 AV27">
    <cfRule type="cellIs" dxfId="385" priority="366" stopIfTrue="1" operator="equal">
      <formula>"J"</formula>
    </cfRule>
  </conditionalFormatting>
  <conditionalFormatting sqref="BJ15 BJ17 BJ19 BJ21 BJ23 BJ25 BJ27">
    <cfRule type="cellIs" dxfId="384" priority="362" stopIfTrue="1" operator="equal">
      <formula>"J"</formula>
    </cfRule>
  </conditionalFormatting>
  <conditionalFormatting sqref="BO15 BO17 BO19 BO21 BO23 BO25 BO27">
    <cfRule type="cellIs" dxfId="383" priority="359" stopIfTrue="1" operator="equal">
      <formula>"J"</formula>
    </cfRule>
  </conditionalFormatting>
  <conditionalFormatting sqref="CA15 CA17 CA19 CA21 CA23 CA25 CA27">
    <cfRule type="cellIs" dxfId="382" priority="356" stopIfTrue="1" operator="equal">
      <formula>"J"</formula>
    </cfRule>
  </conditionalFormatting>
  <conditionalFormatting sqref="CD15 CD17 CD19 CD21 CD23 CD25 CD27">
    <cfRule type="cellIs" dxfId="381" priority="353" stopIfTrue="1" operator="equal">
      <formula>"J"</formula>
    </cfRule>
  </conditionalFormatting>
  <conditionalFormatting sqref="CG15 CG17 CG19 CG21 CG23 CG25 CG27">
    <cfRule type="cellIs" dxfId="380" priority="350" stopIfTrue="1" operator="equal">
      <formula>"J"</formula>
    </cfRule>
  </conditionalFormatting>
  <conditionalFormatting sqref="CQ15 CQ17 CQ19 CQ21 CQ23 CQ25 CQ27">
    <cfRule type="cellIs" dxfId="379" priority="348" stopIfTrue="1" operator="equal">
      <formula>"J"</formula>
    </cfRule>
  </conditionalFormatting>
  <conditionalFormatting sqref="BF15 BF17 BF19 BF21 BF23 BF25 BF27">
    <cfRule type="cellIs" dxfId="378" priority="415" stopIfTrue="1" operator="equal">
      <formula>0</formula>
    </cfRule>
  </conditionalFormatting>
  <conditionalFormatting sqref="AM15 AM17 AM19 AM21 AM23 AM25 AM27">
    <cfRule type="cellIs" dxfId="377" priority="413" stopIfTrue="1" operator="equal">
      <formula>0</formula>
    </cfRule>
  </conditionalFormatting>
  <conditionalFormatting sqref="AJ15:AL15 AJ17:AL17 AJ19:AL19 AJ21:AL21 AJ23:AL23 AJ25:AL25 AJ27:AL27">
    <cfRule type="cellIs" dxfId="376" priority="414" stopIfTrue="1" operator="equal">
      <formula>"J"</formula>
    </cfRule>
  </conditionalFormatting>
  <conditionalFormatting sqref="CM15 CM17 CM19 CM21 CM23 CM25 CM27">
    <cfRule type="cellIs" dxfId="375" priority="396" stopIfTrue="1" operator="equal">
      <formula>0</formula>
    </cfRule>
  </conditionalFormatting>
  <conditionalFormatting sqref="CJ15:CL15 CJ17:CL17 CJ19:CL19 CJ21:CL21 CJ23:CL23 CJ25:CL25 CJ27:CL27">
    <cfRule type="cellIs" dxfId="374" priority="397" stopIfTrue="1" operator="equal">
      <formula>"J"</formula>
    </cfRule>
  </conditionalFormatting>
  <conditionalFormatting sqref="CV15 CV17 CV19 CV21 CV23 CV25 CV27">
    <cfRule type="cellIs" dxfId="373" priority="388" stopIfTrue="1" operator="equal">
      <formula>"J"</formula>
    </cfRule>
  </conditionalFormatting>
  <conditionalFormatting sqref="AI15 AI17 AI19 AI21 AI23 AI25 AI27">
    <cfRule type="cellIs" dxfId="372" priority="370" stopIfTrue="1" operator="equal">
      <formula>"J"</formula>
    </cfRule>
  </conditionalFormatting>
  <conditionalFormatting sqref="AU15 AU17 AU19 AU21 AU23 AU25 AU27">
    <cfRule type="cellIs" dxfId="371" priority="367" stopIfTrue="1" operator="equal">
      <formula>"J"</formula>
    </cfRule>
  </conditionalFormatting>
  <conditionalFormatting sqref="AX15 AX17 AX19 AX21 AX23 AX25 AX27">
    <cfRule type="cellIs" dxfId="370" priority="364" stopIfTrue="1" operator="equal">
      <formula>"J"</formula>
    </cfRule>
  </conditionalFormatting>
  <conditionalFormatting sqref="BA15 BA17 BA19 BA21 BA23 BA25 BA27">
    <cfRule type="cellIs" dxfId="369" priority="363" stopIfTrue="1" operator="equal">
      <formula>"J"</formula>
    </cfRule>
  </conditionalFormatting>
  <conditionalFormatting sqref="BN15 BN17 BN19 BN21 BN23 BN25 BN27">
    <cfRule type="cellIs" dxfId="368" priority="360" stopIfTrue="1" operator="equal">
      <formula>"J"</formula>
    </cfRule>
  </conditionalFormatting>
  <conditionalFormatting sqref="BZ15 BZ17 BZ19 BZ21 BZ23 BZ25 BZ27">
    <cfRule type="cellIs" dxfId="367" priority="357" stopIfTrue="1" operator="equal">
      <formula>"J"</formula>
    </cfRule>
  </conditionalFormatting>
  <conditionalFormatting sqref="CC15 CC17 CC19 CC21 CC23 CC25 CC27">
    <cfRule type="cellIs" dxfId="366" priority="354" stopIfTrue="1" operator="equal">
      <formula>"J"</formula>
    </cfRule>
  </conditionalFormatting>
  <conditionalFormatting sqref="CF15 CF17 CF19 CF21 CF23 CF25 CF27">
    <cfRule type="cellIs" dxfId="365" priority="351" stopIfTrue="1" operator="equal">
      <formula>"J"</formula>
    </cfRule>
  </conditionalFormatting>
  <conditionalFormatting sqref="X15 X17 X19 X21 X23 X25 X27">
    <cfRule type="cellIs" dxfId="364" priority="423" operator="equal">
      <formula>"J"</formula>
    </cfRule>
  </conditionalFormatting>
  <conditionalFormatting sqref="M15:N15 M17:N17 M19:N19 M21:N21 M23:N23 M25:N25 M27:N27">
    <cfRule type="cellIs" dxfId="363" priority="422" operator="equal">
      <formula>"J"</formula>
    </cfRule>
  </conditionalFormatting>
  <conditionalFormatting sqref="Y15:Z15 Y17:Z17 Y19:Z19 Y21:Z21 Y23:Z23 Y25:Z25 Y27:Z27">
    <cfRule type="cellIs" dxfId="362" priority="421" operator="equal">
      <formula>"J"</formula>
    </cfRule>
  </conditionalFormatting>
  <conditionalFormatting sqref="BG15 BG17 BG19 BG21 BG23 BG25 BG27">
    <cfRule type="cellIs" dxfId="361" priority="417" operator="equal">
      <formula>"J"</formula>
    </cfRule>
  </conditionalFormatting>
  <conditionalFormatting sqref="BH15 BH17 BH19 BH21 BH23 BH25 BH27">
    <cfRule type="cellIs" dxfId="360" priority="416" operator="equal">
      <formula>"J"</formula>
    </cfRule>
  </conditionalFormatting>
  <conditionalFormatting sqref="AO15 AO17 AO19 AO21 AO23 AO25 AO27">
    <cfRule type="cellIs" dxfId="359" priority="412" operator="equal">
      <formula>"J"</formula>
    </cfRule>
  </conditionalFormatting>
  <conditionalFormatting sqref="AP15 AP17 AP19 AP21 AP23 AP25 AP27">
    <cfRule type="cellIs" dxfId="358" priority="411" operator="equal">
      <formula>"J"</formula>
    </cfRule>
  </conditionalFormatting>
  <conditionalFormatting sqref="AN15 AN17 AN19 AN21 AN23 AN25 AN27">
    <cfRule type="cellIs" dxfId="357" priority="410" stopIfTrue="1" operator="equal">
      <formula>0</formula>
    </cfRule>
  </conditionalFormatting>
  <conditionalFormatting sqref="BV15 BV17 BV19 BV21 BV23 BV25 BV27">
    <cfRule type="cellIs" dxfId="356" priority="408" stopIfTrue="1" operator="equal">
      <formula>0</formula>
    </cfRule>
  </conditionalFormatting>
  <conditionalFormatting sqref="BR15:BU15 BR17:BU17 BR19:BU19 BR21:BU21 BR23:BU23 BR25:BU25 BR27:BU27">
    <cfRule type="cellIs" dxfId="355" priority="409" stopIfTrue="1" operator="equal">
      <formula>"J"</formula>
    </cfRule>
  </conditionalFormatting>
  <conditionalFormatting sqref="BX15 BX17 BX19 BX21 BX23 BX25 BX27">
    <cfRule type="cellIs" dxfId="354" priority="407" operator="equal">
      <formula>"J"</formula>
    </cfRule>
  </conditionalFormatting>
  <conditionalFormatting sqref="BY15 BY17 BY19 BY21 BY23 BY25 BY27">
    <cfRule type="cellIs" dxfId="353" priority="406" operator="equal">
      <formula>"J"</formula>
    </cfRule>
  </conditionalFormatting>
  <conditionalFormatting sqref="DG15 DG17 DG19 DG21 DG23 DG25 DG27">
    <cfRule type="cellIs" dxfId="352" priority="404" operator="equal">
      <formula>"J"</formula>
    </cfRule>
  </conditionalFormatting>
  <conditionalFormatting sqref="DH15 DH17 DH19 DH21 DH23 DH25 DH27">
    <cfRule type="cellIs" dxfId="351" priority="403" operator="equal">
      <formula>"J"</formula>
    </cfRule>
  </conditionalFormatting>
  <conditionalFormatting sqref="CP15 CP17 CP19 CP21 CP23 CP25 CP27">
    <cfRule type="cellIs" dxfId="350" priority="401" stopIfTrue="1" operator="equal">
      <formula>0</formula>
    </cfRule>
  </conditionalFormatting>
  <conditionalFormatting sqref="DJ15 DJ17 DJ19 DJ21 DJ23 DJ25 DJ27">
    <cfRule type="cellIs" dxfId="349" priority="400" stopIfTrue="1" operator="equal">
      <formula>"J"</formula>
    </cfRule>
  </conditionalFormatting>
  <conditionalFormatting sqref="O15 O17 O19 O21 O23 O25 O27">
    <cfRule type="cellIs" dxfId="348" priority="399" operator="equal">
      <formula>"J"</formula>
    </cfRule>
  </conditionalFormatting>
  <conditionalFormatting sqref="P15 P17 P19 P21 P23 P25 P27">
    <cfRule type="cellIs" dxfId="347" priority="398" operator="equal">
      <formula>"J"</formula>
    </cfRule>
  </conditionalFormatting>
  <conditionalFormatting sqref="CO15 CO17 CO19 CO21 CO23 CO25 CO27">
    <cfRule type="cellIs" dxfId="346" priority="395" operator="equal">
      <formula>"J"</formula>
    </cfRule>
  </conditionalFormatting>
  <conditionalFormatting sqref="DE15 DE17 DE19 DE21 DE23 DE25 DE27">
    <cfRule type="cellIs" dxfId="345" priority="391" operator="equal">
      <formula>"J"</formula>
    </cfRule>
  </conditionalFormatting>
  <conditionalFormatting sqref="CU15 CU17 CU19 CU21 CU23 CU25 CU27">
    <cfRule type="cellIs" dxfId="344" priority="390" operator="equal">
      <formula>"J"</formula>
    </cfRule>
  </conditionalFormatting>
  <conditionalFormatting sqref="DI15 DI17 DI19 DI21 DI23 DI25 DI27">
    <cfRule type="cellIs" dxfId="343" priority="385" operator="equal">
      <formula>"J"</formula>
    </cfRule>
  </conditionalFormatting>
  <conditionalFormatting sqref="AB15 AB17 AB19 AB21 AB23 AB25 AB27">
    <cfRule type="cellIs" dxfId="342" priority="384" operator="equal">
      <formula>"J"</formula>
    </cfRule>
  </conditionalFormatting>
  <conditionalFormatting sqref="AG15 AG17 AG19 AG21 AG23 AG25 AG27">
    <cfRule type="cellIs" dxfId="341" priority="383" operator="equal">
      <formula>"J"</formula>
    </cfRule>
  </conditionalFormatting>
  <conditionalFormatting sqref="AS15 AS17 AS19 AS21 AS23 AS25 AS27">
    <cfRule type="cellIs" dxfId="340" priority="382" operator="equal">
      <formula>"J"</formula>
    </cfRule>
  </conditionalFormatting>
  <conditionalFormatting sqref="BI15 BI17 BI19 BI21 BI23 BI25 BI27">
    <cfRule type="cellIs" dxfId="339" priority="381" operator="equal">
      <formula>"J"</formula>
    </cfRule>
  </conditionalFormatting>
  <conditionalFormatting sqref="BL15 BL17 BL19 BL21 BL23 BL25 BL27">
    <cfRule type="cellIs" dxfId="338" priority="380" operator="equal">
      <formula>"J"</formula>
    </cfRule>
  </conditionalFormatting>
  <conditionalFormatting sqref="BQ15 BQ17 BQ19 BQ21 BQ23 BQ25 BQ27">
    <cfRule type="cellIs" dxfId="337" priority="379" operator="equal">
      <formula>"J"</formula>
    </cfRule>
  </conditionalFormatting>
  <conditionalFormatting sqref="CS15 CS17 CS19 CS21 CS23 CS25 CS27">
    <cfRule type="cellIs" dxfId="336" priority="378" operator="equal">
      <formula>"J"</formula>
    </cfRule>
  </conditionalFormatting>
  <conditionalFormatting sqref="CT15 CT17 CT19 CT21 CT23 CT25 CT27">
    <cfRule type="cellIs" dxfId="335" priority="377" operator="equal">
      <formula>"J"</formula>
    </cfRule>
  </conditionalFormatting>
  <conditionalFormatting sqref="CI15 CI17 CI19 CI21 CI23 CI25 CI27">
    <cfRule type="cellIs" dxfId="334" priority="376" operator="equal">
      <formula>"J"</formula>
    </cfRule>
  </conditionalFormatting>
  <conditionalFormatting sqref="AC15 AC17 AC19 AC21 AC23 AC25 AC27">
    <cfRule type="cellIs" dxfId="333" priority="375" operator="equal">
      <formula>"J"</formula>
    </cfRule>
  </conditionalFormatting>
  <conditionalFormatting sqref="AD15 AD17 AD19 AD21 AD23 AD25 AD27">
    <cfRule type="cellIs" dxfId="332" priority="374" operator="equal">
      <formula>"J"</formula>
    </cfRule>
  </conditionalFormatting>
  <conditionalFormatting sqref="AE15 AE17 AE19 AE21 AE23 AE25 AE27">
    <cfRule type="cellIs" dxfId="331" priority="373" operator="equal">
      <formula>"J"</formula>
    </cfRule>
  </conditionalFormatting>
  <conditionalFormatting sqref="CR15 CR17 CR19 CR21 CR23 CR25 CR27">
    <cfRule type="cellIs" dxfId="330" priority="347" stopIfTrue="1" operator="equal">
      <formula>"J"</formula>
    </cfRule>
  </conditionalFormatting>
  <conditionalFormatting sqref="DK15 DK17 DK19 DK21 DK23 DK25 DK27">
    <cfRule type="cellIs" dxfId="329" priority="345" stopIfTrue="1" operator="equal">
      <formula>"J"</formula>
    </cfRule>
  </conditionalFormatting>
  <conditionalFormatting sqref="AA15 AA17 AA19 AA21 AA23 AA25 AA27">
    <cfRule type="cellIs" dxfId="328" priority="344" stopIfTrue="1" operator="equal">
      <formula>"J"</formula>
    </cfRule>
  </conditionalFormatting>
  <conditionalFormatting sqref="AM14 AM16 AM18 AM20 AM22 AM24 AM26">
    <cfRule type="cellIs" dxfId="327" priority="331" stopIfTrue="1" operator="equal">
      <formula>0</formula>
    </cfRule>
  </conditionalFormatting>
  <conditionalFormatting sqref="AJ14:AL14 AJ16:AL16 AJ18:AL18 AJ20:AL20 AJ22:AL22 AJ24:AL24 AJ26:AL26">
    <cfRule type="cellIs" dxfId="326" priority="332" stopIfTrue="1" operator="equal">
      <formula>"J"</formula>
    </cfRule>
  </conditionalFormatting>
  <conditionalFormatting sqref="AN14 AN16 AN18 AN20 AN22 AN24 AN26">
    <cfRule type="cellIs" dxfId="325" priority="328" stopIfTrue="1" operator="equal">
      <formula>0</formula>
    </cfRule>
  </conditionalFormatting>
  <conditionalFormatting sqref="CP14 CP16 CP18 CP20 CP22 CP24 CP26">
    <cfRule type="cellIs" dxfId="324" priority="319" stopIfTrue="1" operator="equal">
      <formula>0</formula>
    </cfRule>
  </conditionalFormatting>
  <conditionalFormatting sqref="CM14 CM16 CM18 CM20 CM22 CM24 CM26">
    <cfRule type="cellIs" dxfId="323" priority="314" stopIfTrue="1" operator="equal">
      <formula>0</formula>
    </cfRule>
  </conditionalFormatting>
  <conditionalFormatting sqref="CJ14:CL14 CJ16:CL16 CJ18:CL18 CJ20:CL20 CJ22:CL22 CJ24:CL24 CJ26:CL26">
    <cfRule type="cellIs" dxfId="322" priority="315" stopIfTrue="1" operator="equal">
      <formula>"J"</formula>
    </cfRule>
  </conditionalFormatting>
  <conditionalFormatting sqref="CB14 CB16 CB18 CB20 CB22 CB24 CB26">
    <cfRule type="cellIs" dxfId="321" priority="273" stopIfTrue="1" operator="equal">
      <formula>"J"</formula>
    </cfRule>
  </conditionalFormatting>
  <conditionalFormatting sqref="W14 W16 W18 W20 W22 W24 W26">
    <cfRule type="cellIs" dxfId="320" priority="338" stopIfTrue="1" operator="equal">
      <formula>0</formula>
    </cfRule>
  </conditionalFormatting>
  <conditionalFormatting sqref="BV14 BV16 BV18 BV20 BV22 BV24 BV26">
    <cfRule type="cellIs" dxfId="319" priority="326" stopIfTrue="1" operator="equal">
      <formula>0</formula>
    </cfRule>
  </conditionalFormatting>
  <conditionalFormatting sqref="BR14:BU14 BR16:BU16 BR18:BU18 BR20:BU20 BR22:BU22 BR24:BU24 BR26:BU26">
    <cfRule type="cellIs" dxfId="318" priority="327" stopIfTrue="1" operator="equal">
      <formula>"J"</formula>
    </cfRule>
  </conditionalFormatting>
  <conditionalFormatting sqref="BW14 BW16 BW18 BW20 BW22 BW24 BW26">
    <cfRule type="cellIs" dxfId="317" priority="323" stopIfTrue="1" operator="equal">
      <formula>0</formula>
    </cfRule>
  </conditionalFormatting>
  <conditionalFormatting sqref="DF14 DF16 DF18 DF20 DF22 DF24 DF26">
    <cfRule type="cellIs" dxfId="316" priority="320" stopIfTrue="1" operator="equal">
      <formula>0</formula>
    </cfRule>
  </conditionalFormatting>
  <conditionalFormatting sqref="DJ14 DJ16 DJ18 DJ20 DJ22 DJ24 DJ26">
    <cfRule type="cellIs" dxfId="315" priority="318" stopIfTrue="1" operator="equal">
      <formula>"J"</formula>
    </cfRule>
  </conditionalFormatting>
  <conditionalFormatting sqref="CW14 CW16 CW18 CW20 CW22 CW24 CW26">
    <cfRule type="cellIs" dxfId="314" priority="305" stopIfTrue="1" operator="equal">
      <formula>"J"</formula>
    </cfRule>
  </conditionalFormatting>
  <conditionalFormatting sqref="AF14 AF16 AF18 AF20 AF22 AF24 AF26">
    <cfRule type="cellIs" dxfId="313" priority="290" stopIfTrue="1" operator="equal">
      <formula>"J"</formula>
    </cfRule>
  </conditionalFormatting>
  <conditionalFormatting sqref="AR14 AR16 AR18 AR20 AR22 AR24 AR26">
    <cfRule type="cellIs" dxfId="312" priority="287" stopIfTrue="1" operator="equal">
      <formula>"J"</formula>
    </cfRule>
  </conditionalFormatting>
  <conditionalFormatting sqref="AV14 AV16 AV18 AV20 AV22 AV24 AV26">
    <cfRule type="cellIs" dxfId="311" priority="284" stopIfTrue="1" operator="equal">
      <formula>"J"</formula>
    </cfRule>
  </conditionalFormatting>
  <conditionalFormatting sqref="BJ14 BJ16 BJ18 BJ20 BJ22 BJ24 BJ26">
    <cfRule type="cellIs" dxfId="310" priority="280" stopIfTrue="1" operator="equal">
      <formula>"J"</formula>
    </cfRule>
  </conditionalFormatting>
  <conditionalFormatting sqref="BO14 BO16 BO18 BO20 BO22 BO24 BO26">
    <cfRule type="cellIs" dxfId="309" priority="277" stopIfTrue="1" operator="equal">
      <formula>"J"</formula>
    </cfRule>
  </conditionalFormatting>
  <conditionalFormatting sqref="CA14 CA16 CA18 CA20 CA22 CA24 CA26">
    <cfRule type="cellIs" dxfId="308" priority="274" stopIfTrue="1" operator="equal">
      <formula>"J"</formula>
    </cfRule>
  </conditionalFormatting>
  <conditionalFormatting sqref="CD14 CD16 CD18 CD20 CD22 CD24 CD26">
    <cfRule type="cellIs" dxfId="307" priority="271" stopIfTrue="1" operator="equal">
      <formula>"J"</formula>
    </cfRule>
  </conditionalFormatting>
  <conditionalFormatting sqref="CG14 CG16 CG18 CG20 CG22 CG24 CG26">
    <cfRule type="cellIs" dxfId="306" priority="268" stopIfTrue="1" operator="equal">
      <formula>"J"</formula>
    </cfRule>
  </conditionalFormatting>
  <conditionalFormatting sqref="CQ14 CQ16 CQ18 CQ20 CQ22 CQ24 CQ26">
    <cfRule type="cellIs" dxfId="305" priority="266" stopIfTrue="1" operator="equal">
      <formula>"J"</formula>
    </cfRule>
  </conditionalFormatting>
  <conditionalFormatting sqref="X14 X16 X18 X20 X22 X24 X26">
    <cfRule type="cellIs" dxfId="304" priority="341" operator="equal">
      <formula>"J"</formula>
    </cfRule>
  </conditionalFormatting>
  <conditionalFormatting sqref="M14:N14 M16:N16 M18:N18 M20:N20 M22:N22 M24:N24 M26:N26">
    <cfRule type="cellIs" dxfId="303" priority="340" operator="equal">
      <formula>"J"</formula>
    </cfRule>
  </conditionalFormatting>
  <conditionalFormatting sqref="Y14:Z14 Y16:Z16 Y18:Z18 Y20:Z20 Y22:Z22 Y24:Z24 Y26:Z26">
    <cfRule type="cellIs" dxfId="302" priority="339" operator="equal">
      <formula>"J"</formula>
    </cfRule>
  </conditionalFormatting>
  <conditionalFormatting sqref="BG14 BG16 BG18 BG20 BG22 BG24 BG26">
    <cfRule type="cellIs" dxfId="301" priority="335" operator="equal">
      <formula>"J"</formula>
    </cfRule>
  </conditionalFormatting>
  <conditionalFormatting sqref="BH14 BH16 BH18 BH20 BH22 BH24 BH26">
    <cfRule type="cellIs" dxfId="300" priority="334" operator="equal">
      <formula>"J"</formula>
    </cfRule>
  </conditionalFormatting>
  <conditionalFormatting sqref="AO14 AO16 AO18 AO20 AO22 AO24 AO26">
    <cfRule type="cellIs" dxfId="299" priority="330" operator="equal">
      <formula>"J"</formula>
    </cfRule>
  </conditionalFormatting>
  <conditionalFormatting sqref="AP14 AP16 AP18 AP20 AP22 AP24 AP26">
    <cfRule type="cellIs" dxfId="298" priority="329" operator="equal">
      <formula>"J"</formula>
    </cfRule>
  </conditionalFormatting>
  <conditionalFormatting sqref="BX14 BX16 BX18 BX20 BX22 BX24 BX26">
    <cfRule type="cellIs" dxfId="297" priority="325" operator="equal">
      <formula>"J"</formula>
    </cfRule>
  </conditionalFormatting>
  <conditionalFormatting sqref="BY14 BY16 BY18 BY20 BY22 BY24 BY26">
    <cfRule type="cellIs" dxfId="296" priority="324" operator="equal">
      <formula>"J"</formula>
    </cfRule>
  </conditionalFormatting>
  <conditionalFormatting sqref="DG14 DG16 DG18 DG20 DG22 DG24 DG26">
    <cfRule type="cellIs" dxfId="295" priority="322" operator="equal">
      <formula>"J"</formula>
    </cfRule>
  </conditionalFormatting>
  <conditionalFormatting sqref="DH14 DH16 DH18 DH20 DH22 DH24 DH26">
    <cfRule type="cellIs" dxfId="294" priority="321" operator="equal">
      <formula>"J"</formula>
    </cfRule>
  </conditionalFormatting>
  <conditionalFormatting sqref="O14 O16 O18 O20 O22 O24 O26">
    <cfRule type="cellIs" dxfId="293" priority="317" operator="equal">
      <formula>"J"</formula>
    </cfRule>
  </conditionalFormatting>
  <conditionalFormatting sqref="P14 P16 P18 P20 P22 P24 P26">
    <cfRule type="cellIs" dxfId="292" priority="316" operator="equal">
      <formula>"J"</formula>
    </cfRule>
  </conditionalFormatting>
  <conditionalFormatting sqref="CV14 CV16 CV18 CV20 CV22 CV24 CV26">
    <cfRule type="cellIs" dxfId="291" priority="306" stopIfTrue="1" operator="equal">
      <formula>"J"</formula>
    </cfRule>
  </conditionalFormatting>
  <conditionalFormatting sqref="CO14 CO16 CO18 CO20 CO22 CO24 CO26">
    <cfRule type="cellIs" dxfId="290" priority="313" operator="equal">
      <formula>"J"</formula>
    </cfRule>
  </conditionalFormatting>
  <conditionalFormatting sqref="DC14 DC16 DC18 DC20 DC22 DC24 DC26">
    <cfRule type="cellIs" dxfId="289" priority="310" stopIfTrue="1" operator="equal">
      <formula>0</formula>
    </cfRule>
  </conditionalFormatting>
  <conditionalFormatting sqref="CY14:DB14 CY16:DB16 CY18:DB18 CY20:DB20 CY22:DB22 CY24:DB24 CY26:DB26">
    <cfRule type="cellIs" dxfId="288" priority="311" stopIfTrue="1" operator="equal">
      <formula>"J"</formula>
    </cfRule>
  </conditionalFormatting>
  <conditionalFormatting sqref="DE14 DE16 DE18 DE20 DE22 DE24 DE26">
    <cfRule type="cellIs" dxfId="287" priority="309" operator="equal">
      <formula>"J"</formula>
    </cfRule>
  </conditionalFormatting>
  <conditionalFormatting sqref="CU14 CU16 CU18 CU20 CU22 CU24 CU26">
    <cfRule type="cellIs" dxfId="286" priority="308" operator="equal">
      <formula>"J"</formula>
    </cfRule>
  </conditionalFormatting>
  <conditionalFormatting sqref="DD14 DD16 DD18 DD20 DD22 DD24 DD26">
    <cfRule type="cellIs" dxfId="285" priority="307" stopIfTrue="1" operator="equal">
      <formula>0</formula>
    </cfRule>
  </conditionalFormatting>
  <conditionalFormatting sqref="DI14 DI16 DI18 DI20 DI22 DI24 DI26">
    <cfRule type="cellIs" dxfId="284" priority="303" operator="equal">
      <formula>"J"</formula>
    </cfRule>
  </conditionalFormatting>
  <conditionalFormatting sqref="AB14 AB16 AB18 AB20 AB22 AB24 AB26">
    <cfRule type="cellIs" dxfId="283" priority="302" operator="equal">
      <formula>"J"</formula>
    </cfRule>
  </conditionalFormatting>
  <conditionalFormatting sqref="AG14 AG16 AG18 AG20 AG22 AG24 AG26">
    <cfRule type="cellIs" dxfId="282" priority="301" operator="equal">
      <formula>"J"</formula>
    </cfRule>
  </conditionalFormatting>
  <conditionalFormatting sqref="AS14 AS16 AS18 AS20 AS22 AS24 AS26">
    <cfRule type="cellIs" dxfId="281" priority="300" operator="equal">
      <formula>"J"</formula>
    </cfRule>
  </conditionalFormatting>
  <conditionalFormatting sqref="BI14 BI16 BI18 BI20 BI22 BI24 BI26">
    <cfRule type="cellIs" dxfId="280" priority="299" operator="equal">
      <formula>"J"</formula>
    </cfRule>
  </conditionalFormatting>
  <conditionalFormatting sqref="BL14 BL16 BL18 BL20 BL22 BL24 BL26">
    <cfRule type="cellIs" dxfId="279" priority="298" operator="equal">
      <formula>"J"</formula>
    </cfRule>
  </conditionalFormatting>
  <conditionalFormatting sqref="BQ14 BQ16 BQ18 BQ20 BQ22 BQ24 BQ26">
    <cfRule type="cellIs" dxfId="278" priority="297" operator="equal">
      <formula>"J"</formula>
    </cfRule>
  </conditionalFormatting>
  <conditionalFormatting sqref="CS14 CS16 CS18 CS20 CS22 CS24 CS26">
    <cfRule type="cellIs" dxfId="277" priority="296" operator="equal">
      <formula>"J"</formula>
    </cfRule>
  </conditionalFormatting>
  <conditionalFormatting sqref="CT14 CT16 CT18 CT20 CT22 CT24 CT26">
    <cfRule type="cellIs" dxfId="276" priority="295" operator="equal">
      <formula>"J"</formula>
    </cfRule>
  </conditionalFormatting>
  <conditionalFormatting sqref="CI14 CI16 CI18 CI20 CI22 CI24 CI26">
    <cfRule type="cellIs" dxfId="275" priority="294" operator="equal">
      <formula>"J"</formula>
    </cfRule>
  </conditionalFormatting>
  <conditionalFormatting sqref="AC14 AC16 AC18 AC20 AC22 AC24 AC26">
    <cfRule type="cellIs" dxfId="274" priority="293" operator="equal">
      <formula>"J"</formula>
    </cfRule>
  </conditionalFormatting>
  <conditionalFormatting sqref="AD14 AD16 AD18 AD20 AD22 AD24 AD26">
    <cfRule type="cellIs" dxfId="273" priority="292" operator="equal">
      <formula>"J"</formula>
    </cfRule>
  </conditionalFormatting>
  <conditionalFormatting sqref="AE14 AE16 AE18 AE20 AE22 AE24 AE26">
    <cfRule type="cellIs" dxfId="272" priority="291" operator="equal">
      <formula>"J"</formula>
    </cfRule>
  </conditionalFormatting>
  <conditionalFormatting sqref="AI14 AI16 AI18 AI20 AI22 AI24 AI26">
    <cfRule type="cellIs" dxfId="271" priority="288" stopIfTrue="1" operator="equal">
      <formula>"J"</formula>
    </cfRule>
  </conditionalFormatting>
  <conditionalFormatting sqref="AU14 AU16 AU18 AU20 AU22 AU24 AU26">
    <cfRule type="cellIs" dxfId="270" priority="285" stopIfTrue="1" operator="equal">
      <formula>"J"</formula>
    </cfRule>
  </conditionalFormatting>
  <conditionalFormatting sqref="AX14 AX16 AX18 AX20 AX22 AX24 AX26">
    <cfRule type="cellIs" dxfId="269" priority="282" stopIfTrue="1" operator="equal">
      <formula>"J"</formula>
    </cfRule>
  </conditionalFormatting>
  <conditionalFormatting sqref="BA14 BA16 BA18 BA20 BA22 BA24 BA26">
    <cfRule type="cellIs" dxfId="268" priority="281" stopIfTrue="1" operator="equal">
      <formula>"J"</formula>
    </cfRule>
  </conditionalFormatting>
  <conditionalFormatting sqref="BN14 BN16 BN18 BN20 BN22 BN24 BN26">
    <cfRule type="cellIs" dxfId="267" priority="278" stopIfTrue="1" operator="equal">
      <formula>"J"</formula>
    </cfRule>
  </conditionalFormatting>
  <conditionalFormatting sqref="BZ14 BZ16 BZ18 BZ20 BZ22 BZ24 BZ26">
    <cfRule type="cellIs" dxfId="266" priority="275" stopIfTrue="1" operator="equal">
      <formula>"J"</formula>
    </cfRule>
  </conditionalFormatting>
  <conditionalFormatting sqref="CC14 CC16 CC18 CC20 CC22 CC24 CC26">
    <cfRule type="cellIs" dxfId="265" priority="272" stopIfTrue="1" operator="equal">
      <formula>"J"</formula>
    </cfRule>
  </conditionalFormatting>
  <conditionalFormatting sqref="CF14 CF16 CF18 CF20 CF22 CF24 CF26">
    <cfRule type="cellIs" dxfId="264" priority="269" stopIfTrue="1" operator="equal">
      <formula>"J"</formula>
    </cfRule>
  </conditionalFormatting>
  <conditionalFormatting sqref="CR14 CR16 CR18 CR20 CR22 CR24 CR26">
    <cfRule type="cellIs" dxfId="263" priority="265" stopIfTrue="1" operator="equal">
      <formula>"J"</formula>
    </cfRule>
  </conditionalFormatting>
  <conditionalFormatting sqref="DK14 DK16 DK18 DK20 DK22 DK24 DK26">
    <cfRule type="cellIs" dxfId="262" priority="263" stopIfTrue="1" operator="equal">
      <formula>"J"</formula>
    </cfRule>
  </conditionalFormatting>
  <conditionalFormatting sqref="AA14 AA16 AA18 AA20 AA22 AA24 AA26">
    <cfRule type="cellIs" dxfId="261" priority="262" stopIfTrue="1" operator="equal">
      <formula>"J"</formula>
    </cfRule>
  </conditionalFormatting>
  <conditionalFormatting sqref="K14 K16 K18 K20 K22 K24 K26">
    <cfRule type="cellIs" dxfId="260" priority="260" stopIfTrue="1" operator="equal">
      <formula>"J"</formula>
    </cfRule>
  </conditionalFormatting>
  <conditionalFormatting sqref="K15 K17 K19 K21 K23 K25 K27">
    <cfRule type="cellIs" dxfId="259" priority="261" stopIfTrue="1" operator="equal">
      <formula>"J"</formula>
    </cfRule>
  </conditionalFormatting>
  <conditionalFormatting sqref="AY15 AY17 AY19 AY21 AY23 AY25 AY27">
    <cfRule type="cellIs" dxfId="258" priority="259" operator="equal">
      <formula>"J"</formula>
    </cfRule>
  </conditionalFormatting>
  <conditionalFormatting sqref="AY14 AY16 AY18 AY20 AY22 AY24 AY26">
    <cfRule type="cellIs" dxfId="257" priority="258" operator="equal">
      <formula>"J"</formula>
    </cfRule>
  </conditionalFormatting>
  <conditionalFormatting sqref="AZ15 AZ17 AZ19 AZ21 AZ23 AZ25 AZ27">
    <cfRule type="cellIs" dxfId="256" priority="257" operator="equal">
      <formula>"J"</formula>
    </cfRule>
  </conditionalFormatting>
  <conditionalFormatting sqref="AZ14 AZ16 AZ18 AZ20 AZ22 AZ24 AZ26">
    <cfRule type="cellIs" dxfId="255" priority="256" operator="equal">
      <formula>"J"</formula>
    </cfRule>
  </conditionalFormatting>
  <conditionalFormatting sqref="DD9 DD11 DD13">
    <cfRule type="cellIs" dxfId="254" priority="219" stopIfTrue="1" operator="equal">
      <formula>0</formula>
    </cfRule>
  </conditionalFormatting>
  <conditionalFormatting sqref="CX9 CX11 CX13">
    <cfRule type="cellIs" dxfId="253" priority="216" stopIfTrue="1" operator="equal">
      <formula>"J"</formula>
    </cfRule>
  </conditionalFormatting>
  <conditionalFormatting sqref="AH9 AH11 AH13">
    <cfRule type="cellIs" dxfId="252" priority="201" stopIfTrue="1" operator="equal">
      <formula>"J"</formula>
    </cfRule>
  </conditionalFormatting>
  <conditionalFormatting sqref="AT9 AT11 AT13">
    <cfRule type="cellIs" dxfId="251" priority="198" stopIfTrue="1" operator="equal">
      <formula>"J"</formula>
    </cfRule>
  </conditionalFormatting>
  <conditionalFormatting sqref="AW9 AW11 AW13">
    <cfRule type="cellIs" dxfId="250" priority="195" stopIfTrue="1" operator="equal">
      <formula>"J"</formula>
    </cfRule>
  </conditionalFormatting>
  <conditionalFormatting sqref="BM9 BM11 BM13">
    <cfRule type="cellIs" dxfId="249" priority="191" stopIfTrue="1" operator="equal">
      <formula>"J"</formula>
    </cfRule>
  </conditionalFormatting>
  <conditionalFormatting sqref="BP9 BP11 BP13">
    <cfRule type="cellIs" dxfId="248" priority="188" stopIfTrue="1" operator="equal">
      <formula>"J"</formula>
    </cfRule>
  </conditionalFormatting>
  <conditionalFormatting sqref="CB9 CB11 CB13">
    <cfRule type="cellIs" dxfId="247" priority="185" stopIfTrue="1" operator="equal">
      <formula>"J"</formula>
    </cfRule>
  </conditionalFormatting>
  <conditionalFormatting sqref="CE9 CE11 CE13">
    <cfRule type="cellIs" dxfId="246" priority="182" stopIfTrue="1" operator="equal">
      <formula>"J"</formula>
    </cfRule>
  </conditionalFormatting>
  <conditionalFormatting sqref="CH9 CH11 CH13">
    <cfRule type="cellIs" dxfId="245" priority="179" stopIfTrue="1" operator="equal">
      <formula>"J"</formula>
    </cfRule>
  </conditionalFormatting>
  <conditionalFormatting sqref="BK9 BK11 BK13">
    <cfRule type="cellIs" dxfId="244" priority="176" stopIfTrue="1" operator="equal">
      <formula>"J"</formula>
    </cfRule>
  </conditionalFormatting>
  <conditionalFormatting sqref="AQ8 AQ10 AQ12 V8 V10 V12">
    <cfRule type="cellIs" dxfId="243" priority="172" stopIfTrue="1" operator="equal">
      <formula>0</formula>
    </cfRule>
  </conditionalFormatting>
  <conditionalFormatting sqref="J8 J10 J12 Q8:U8 Q10:U10 Q12:U12 L8 L10 L12">
    <cfRule type="cellIs" dxfId="242" priority="173" stopIfTrue="1" operator="equal">
      <formula>"J"</formula>
    </cfRule>
  </conditionalFormatting>
  <conditionalFormatting sqref="BE8 BE10 BE12">
    <cfRule type="cellIs" dxfId="241" priority="166" stopIfTrue="1" operator="equal">
      <formula>0</formula>
    </cfRule>
  </conditionalFormatting>
  <conditionalFormatting sqref="BB8:BD8 BB10:BD10 BB12:BD12">
    <cfRule type="cellIs" dxfId="240" priority="167" stopIfTrue="1" operator="equal">
      <formula>"J"</formula>
    </cfRule>
  </conditionalFormatting>
  <conditionalFormatting sqref="BF8 BF10 BF12">
    <cfRule type="cellIs" dxfId="239" priority="163" stopIfTrue="1" operator="equal">
      <formula>0</formula>
    </cfRule>
  </conditionalFormatting>
  <conditionalFormatting sqref="CN8 CN10 CN12">
    <cfRule type="cellIs" dxfId="238" priority="142" stopIfTrue="1" operator="equal">
      <formula>0</formula>
    </cfRule>
  </conditionalFormatting>
  <conditionalFormatting sqref="CX8 CX10 CX12">
    <cfRule type="cellIs" dxfId="237" priority="134" stopIfTrue="1" operator="equal">
      <formula>"J"</formula>
    </cfRule>
  </conditionalFormatting>
  <conditionalFormatting sqref="AH8 AH10 AH12">
    <cfRule type="cellIs" dxfId="236" priority="119" stopIfTrue="1" operator="equal">
      <formula>"J"</formula>
    </cfRule>
  </conditionalFormatting>
  <conditionalFormatting sqref="AT8 AT10 AT12">
    <cfRule type="cellIs" dxfId="235" priority="116" stopIfTrue="1" operator="equal">
      <formula>"J"</formula>
    </cfRule>
  </conditionalFormatting>
  <conditionalFormatting sqref="AW8 AW10 AW12">
    <cfRule type="cellIs" dxfId="234" priority="113" stopIfTrue="1" operator="equal">
      <formula>"J"</formula>
    </cfRule>
  </conditionalFormatting>
  <conditionalFormatting sqref="BM8 BM10 BM12">
    <cfRule type="cellIs" dxfId="233" priority="109" stopIfTrue="1" operator="equal">
      <formula>"J"</formula>
    </cfRule>
  </conditionalFormatting>
  <conditionalFormatting sqref="BP8 BP10 BP12">
    <cfRule type="cellIs" dxfId="232" priority="106" stopIfTrue="1" operator="equal">
      <formula>"J"</formula>
    </cfRule>
  </conditionalFormatting>
  <conditionalFormatting sqref="CE8 CE10 CE12">
    <cfRule type="cellIs" dxfId="231" priority="100" stopIfTrue="1" operator="equal">
      <formula>"J"</formula>
    </cfRule>
  </conditionalFormatting>
  <conditionalFormatting sqref="CH8 CH10 CH12">
    <cfRule type="cellIs" dxfId="230" priority="97" stopIfTrue="1" operator="equal">
      <formula>"J"</formula>
    </cfRule>
  </conditionalFormatting>
  <conditionalFormatting sqref="BK8 BK10 BK12">
    <cfRule type="cellIs" dxfId="229" priority="94" stopIfTrue="1" operator="equal">
      <formula>"J"</formula>
    </cfRule>
  </conditionalFormatting>
  <conditionalFormatting sqref="AQ9 AQ11 AQ13 V9 V11 V13">
    <cfRule type="cellIs" dxfId="228" priority="254" stopIfTrue="1" operator="equal">
      <formula>0</formula>
    </cfRule>
  </conditionalFormatting>
  <conditionalFormatting sqref="J9 J11 J13 Q9:U9 Q11:U11 Q13:U13 L9 L11 L13">
    <cfRule type="cellIs" dxfId="227" priority="255" stopIfTrue="1" operator="equal">
      <formula>"J"</formula>
    </cfRule>
  </conditionalFormatting>
  <conditionalFormatting sqref="W9 W11 W13">
    <cfRule type="cellIs" dxfId="226" priority="250" stopIfTrue="1" operator="equal">
      <formula>0</formula>
    </cfRule>
  </conditionalFormatting>
  <conditionalFormatting sqref="BE9 BE11 BE13">
    <cfRule type="cellIs" dxfId="225" priority="248" stopIfTrue="1" operator="equal">
      <formula>0</formula>
    </cfRule>
  </conditionalFormatting>
  <conditionalFormatting sqref="BB9:BD9 BB11:BD11 BB13:BD13">
    <cfRule type="cellIs" dxfId="224" priority="249" stopIfTrue="1" operator="equal">
      <formula>"J"</formula>
    </cfRule>
  </conditionalFormatting>
  <conditionalFormatting sqref="BW9 BW11 BW13">
    <cfRule type="cellIs" dxfId="223" priority="235" stopIfTrue="1" operator="equal">
      <formula>0</formula>
    </cfRule>
  </conditionalFormatting>
  <conditionalFormatting sqref="DF9 DF11 DF13">
    <cfRule type="cellIs" dxfId="222" priority="232" stopIfTrue="1" operator="equal">
      <formula>0</formula>
    </cfRule>
  </conditionalFormatting>
  <conditionalFormatting sqref="CN9 CN11 CN13">
    <cfRule type="cellIs" dxfId="221" priority="224" stopIfTrue="1" operator="equal">
      <formula>0</formula>
    </cfRule>
  </conditionalFormatting>
  <conditionalFormatting sqref="DC9 DC11 DC13">
    <cfRule type="cellIs" dxfId="220" priority="222" stopIfTrue="1" operator="equal">
      <formula>0</formula>
    </cfRule>
  </conditionalFormatting>
  <conditionalFormatting sqref="CY9:DB9 CY11:DB11 CY13:DB13">
    <cfRule type="cellIs" dxfId="219" priority="223" stopIfTrue="1" operator="equal">
      <formula>"J"</formula>
    </cfRule>
  </conditionalFormatting>
  <conditionalFormatting sqref="CW9 CW11 CW13">
    <cfRule type="cellIs" dxfId="218" priority="217" stopIfTrue="1" operator="equal">
      <formula>"J"</formula>
    </cfRule>
  </conditionalFormatting>
  <conditionalFormatting sqref="AF9 AF11 AF13">
    <cfRule type="cellIs" dxfId="217" priority="202" stopIfTrue="1" operator="equal">
      <formula>"J"</formula>
    </cfRule>
  </conditionalFormatting>
  <conditionalFormatting sqref="AR9 AR11 AR13">
    <cfRule type="cellIs" dxfId="216" priority="199" stopIfTrue="1" operator="equal">
      <formula>"J"</formula>
    </cfRule>
  </conditionalFormatting>
  <conditionalFormatting sqref="AV9 AV11 AV13">
    <cfRule type="cellIs" dxfId="215" priority="196" stopIfTrue="1" operator="equal">
      <formula>"J"</formula>
    </cfRule>
  </conditionalFormatting>
  <conditionalFormatting sqref="BJ9 BJ11 BJ13">
    <cfRule type="cellIs" dxfId="214" priority="192" stopIfTrue="1" operator="equal">
      <formula>"J"</formula>
    </cfRule>
  </conditionalFormatting>
  <conditionalFormatting sqref="BO9 BO11 BO13">
    <cfRule type="cellIs" dxfId="213" priority="189" stopIfTrue="1" operator="equal">
      <formula>"J"</formula>
    </cfRule>
  </conditionalFormatting>
  <conditionalFormatting sqref="CA9 CA11 CA13">
    <cfRule type="cellIs" dxfId="212" priority="186" stopIfTrue="1" operator="equal">
      <formula>"J"</formula>
    </cfRule>
  </conditionalFormatting>
  <conditionalFormatting sqref="CD9 CD11 CD13">
    <cfRule type="cellIs" dxfId="211" priority="183" stopIfTrue="1" operator="equal">
      <formula>"J"</formula>
    </cfRule>
  </conditionalFormatting>
  <conditionalFormatting sqref="CG9 CG11 CG13">
    <cfRule type="cellIs" dxfId="210" priority="180" stopIfTrue="1" operator="equal">
      <formula>"J"</formula>
    </cfRule>
  </conditionalFormatting>
  <conditionalFormatting sqref="CQ9 CQ11 CQ13">
    <cfRule type="cellIs" dxfId="209" priority="178" stopIfTrue="1" operator="equal">
      <formula>"J"</formula>
    </cfRule>
  </conditionalFormatting>
  <conditionalFormatting sqref="BF9 BF11 BF13">
    <cfRule type="cellIs" dxfId="208" priority="245" stopIfTrue="1" operator="equal">
      <formula>0</formula>
    </cfRule>
  </conditionalFormatting>
  <conditionalFormatting sqref="AM9 AM11 AM13">
    <cfRule type="cellIs" dxfId="207" priority="243" stopIfTrue="1" operator="equal">
      <formula>0</formula>
    </cfRule>
  </conditionalFormatting>
  <conditionalFormatting sqref="AJ9:AL9 AJ11:AL11 AJ13:AL13">
    <cfRule type="cellIs" dxfId="206" priority="244" stopIfTrue="1" operator="equal">
      <formula>"J"</formula>
    </cfRule>
  </conditionalFormatting>
  <conditionalFormatting sqref="CM9 CM11 CM13">
    <cfRule type="cellIs" dxfId="205" priority="226" stopIfTrue="1" operator="equal">
      <formula>0</formula>
    </cfRule>
  </conditionalFormatting>
  <conditionalFormatting sqref="CJ9:CL9 CJ11:CL11 CJ13:CL13">
    <cfRule type="cellIs" dxfId="204" priority="227" stopIfTrue="1" operator="equal">
      <formula>"J"</formula>
    </cfRule>
  </conditionalFormatting>
  <conditionalFormatting sqref="CV9 CV11 CV13">
    <cfRule type="cellIs" dxfId="203" priority="218" stopIfTrue="1" operator="equal">
      <formula>"J"</formula>
    </cfRule>
  </conditionalFormatting>
  <conditionalFormatting sqref="AI9 AI11 AI13">
    <cfRule type="cellIs" dxfId="202" priority="200" stopIfTrue="1" operator="equal">
      <formula>"J"</formula>
    </cfRule>
  </conditionalFormatting>
  <conditionalFormatting sqref="AU9 AU11 AU13">
    <cfRule type="cellIs" dxfId="201" priority="197" stopIfTrue="1" operator="equal">
      <formula>"J"</formula>
    </cfRule>
  </conditionalFormatting>
  <conditionalFormatting sqref="AX9 AX11 AX13">
    <cfRule type="cellIs" dxfId="200" priority="194" stopIfTrue="1" operator="equal">
      <formula>"J"</formula>
    </cfRule>
  </conditionalFormatting>
  <conditionalFormatting sqref="BA9 BA11 BA13">
    <cfRule type="cellIs" dxfId="199" priority="193" stopIfTrue="1" operator="equal">
      <formula>"J"</formula>
    </cfRule>
  </conditionalFormatting>
  <conditionalFormatting sqref="BN9 BN11 BN13">
    <cfRule type="cellIs" dxfId="198" priority="190" stopIfTrue="1" operator="equal">
      <formula>"J"</formula>
    </cfRule>
  </conditionalFormatting>
  <conditionalFormatting sqref="BZ9 BZ11 BZ13">
    <cfRule type="cellIs" dxfId="197" priority="187" stopIfTrue="1" operator="equal">
      <formula>"J"</formula>
    </cfRule>
  </conditionalFormatting>
  <conditionalFormatting sqref="CC9 CC11 CC13">
    <cfRule type="cellIs" dxfId="196" priority="184" stopIfTrue="1" operator="equal">
      <formula>"J"</formula>
    </cfRule>
  </conditionalFormatting>
  <conditionalFormatting sqref="CF9 CF11 CF13">
    <cfRule type="cellIs" dxfId="195" priority="181" stopIfTrue="1" operator="equal">
      <formula>"J"</formula>
    </cfRule>
  </conditionalFormatting>
  <conditionalFormatting sqref="X9 X11 X13">
    <cfRule type="cellIs" dxfId="194" priority="253" operator="equal">
      <formula>"J"</formula>
    </cfRule>
  </conditionalFormatting>
  <conditionalFormatting sqref="M9:N9 M11:N11 M13:N13">
    <cfRule type="cellIs" dxfId="193" priority="252" operator="equal">
      <formula>"J"</formula>
    </cfRule>
  </conditionalFormatting>
  <conditionalFormatting sqref="Y9:Z9 Y11:Z11 Y13:Z13">
    <cfRule type="cellIs" dxfId="192" priority="251" operator="equal">
      <formula>"J"</formula>
    </cfRule>
  </conditionalFormatting>
  <conditionalFormatting sqref="BG9 BG11 BG13">
    <cfRule type="cellIs" dxfId="191" priority="247" operator="equal">
      <formula>"J"</formula>
    </cfRule>
  </conditionalFormatting>
  <conditionalFormatting sqref="BH9 BH11 BH13">
    <cfRule type="cellIs" dxfId="190" priority="246" operator="equal">
      <formula>"J"</formula>
    </cfRule>
  </conditionalFormatting>
  <conditionalFormatting sqref="AO9 AO11 AO13">
    <cfRule type="cellIs" dxfId="189" priority="242" operator="equal">
      <formula>"J"</formula>
    </cfRule>
  </conditionalFormatting>
  <conditionalFormatting sqref="AP9 AP11 AP13">
    <cfRule type="cellIs" dxfId="188" priority="241" operator="equal">
      <formula>"J"</formula>
    </cfRule>
  </conditionalFormatting>
  <conditionalFormatting sqref="AN9 AN11 AN13">
    <cfRule type="cellIs" dxfId="187" priority="240" stopIfTrue="1" operator="equal">
      <formula>0</formula>
    </cfRule>
  </conditionalFormatting>
  <conditionalFormatting sqref="BV9 BV11 BV13">
    <cfRule type="cellIs" dxfId="186" priority="238" stopIfTrue="1" operator="equal">
      <formula>0</formula>
    </cfRule>
  </conditionalFormatting>
  <conditionalFormatting sqref="BR9:BU9 BR11:BU11 BR13:BU13">
    <cfRule type="cellIs" dxfId="185" priority="239" stopIfTrue="1" operator="equal">
      <formula>"J"</formula>
    </cfRule>
  </conditionalFormatting>
  <conditionalFormatting sqref="BX9 BX11 BX13">
    <cfRule type="cellIs" dxfId="184" priority="237" operator="equal">
      <formula>"J"</formula>
    </cfRule>
  </conditionalFormatting>
  <conditionalFormatting sqref="BY9 BY11 BY13">
    <cfRule type="cellIs" dxfId="183" priority="236" operator="equal">
      <formula>"J"</formula>
    </cfRule>
  </conditionalFormatting>
  <conditionalFormatting sqref="DG9 DG11 DG13">
    <cfRule type="cellIs" dxfId="182" priority="234" operator="equal">
      <formula>"J"</formula>
    </cfRule>
  </conditionalFormatting>
  <conditionalFormatting sqref="DH9 DH11 DH13">
    <cfRule type="cellIs" dxfId="181" priority="233" operator="equal">
      <formula>"J"</formula>
    </cfRule>
  </conditionalFormatting>
  <conditionalFormatting sqref="CP9 CP11 CP13">
    <cfRule type="cellIs" dxfId="180" priority="231" stopIfTrue="1" operator="equal">
      <formula>0</formula>
    </cfRule>
  </conditionalFormatting>
  <conditionalFormatting sqref="DJ9 DJ11 DJ13">
    <cfRule type="cellIs" dxfId="179" priority="230" stopIfTrue="1" operator="equal">
      <formula>"J"</formula>
    </cfRule>
  </conditionalFormatting>
  <conditionalFormatting sqref="O9 O11 O13">
    <cfRule type="cellIs" dxfId="178" priority="229" operator="equal">
      <formula>"J"</formula>
    </cfRule>
  </conditionalFormatting>
  <conditionalFormatting sqref="P9 P11 P13">
    <cfRule type="cellIs" dxfId="177" priority="228" operator="equal">
      <formula>"J"</formula>
    </cfRule>
  </conditionalFormatting>
  <conditionalFormatting sqref="CO9 CO11 CO13">
    <cfRule type="cellIs" dxfId="176" priority="225" operator="equal">
      <formula>"J"</formula>
    </cfRule>
  </conditionalFormatting>
  <conditionalFormatting sqref="DE9 DE11 DE13">
    <cfRule type="cellIs" dxfId="175" priority="221" operator="equal">
      <formula>"J"</formula>
    </cfRule>
  </conditionalFormatting>
  <conditionalFormatting sqref="CU9 CU11 CU13">
    <cfRule type="cellIs" dxfId="174" priority="220" operator="equal">
      <formula>"J"</formula>
    </cfRule>
  </conditionalFormatting>
  <conditionalFormatting sqref="DI9 DI11 DI13">
    <cfRule type="cellIs" dxfId="173" priority="215" operator="equal">
      <formula>"J"</formula>
    </cfRule>
  </conditionalFormatting>
  <conditionalFormatting sqref="AB9 AB11 AB13">
    <cfRule type="cellIs" dxfId="172" priority="214" operator="equal">
      <formula>"J"</formula>
    </cfRule>
  </conditionalFormatting>
  <conditionalFormatting sqref="AG9 AG11 AG13">
    <cfRule type="cellIs" dxfId="171" priority="213" operator="equal">
      <formula>"J"</formula>
    </cfRule>
  </conditionalFormatting>
  <conditionalFormatting sqref="AS9 AS11 AS13">
    <cfRule type="cellIs" dxfId="170" priority="212" operator="equal">
      <formula>"J"</formula>
    </cfRule>
  </conditionalFormatting>
  <conditionalFormatting sqref="BI9 BI11 BI13">
    <cfRule type="cellIs" dxfId="169" priority="211" operator="equal">
      <formula>"J"</formula>
    </cfRule>
  </conditionalFormatting>
  <conditionalFormatting sqref="BL9 BL11 BL13">
    <cfRule type="cellIs" dxfId="168" priority="210" operator="equal">
      <formula>"J"</formula>
    </cfRule>
  </conditionalFormatting>
  <conditionalFormatting sqref="BQ9 BQ11 BQ13">
    <cfRule type="cellIs" dxfId="167" priority="209" operator="equal">
      <formula>"J"</formula>
    </cfRule>
  </conditionalFormatting>
  <conditionalFormatting sqref="CS9 CS11 CS13">
    <cfRule type="cellIs" dxfId="166" priority="208" operator="equal">
      <formula>"J"</formula>
    </cfRule>
  </conditionalFormatting>
  <conditionalFormatting sqref="CT9 CT11 CT13">
    <cfRule type="cellIs" dxfId="165" priority="207" operator="equal">
      <formula>"J"</formula>
    </cfRule>
  </conditionalFormatting>
  <conditionalFormatting sqref="CI9 CI11 CI13">
    <cfRule type="cellIs" dxfId="164" priority="206" operator="equal">
      <formula>"J"</formula>
    </cfRule>
  </conditionalFormatting>
  <conditionalFormatting sqref="AC9 AC11 AC13">
    <cfRule type="cellIs" dxfId="163" priority="205" operator="equal">
      <formula>"J"</formula>
    </cfRule>
  </conditionalFormatting>
  <conditionalFormatting sqref="AD9 AD11 AD13">
    <cfRule type="cellIs" dxfId="162" priority="204" operator="equal">
      <formula>"J"</formula>
    </cfRule>
  </conditionalFormatting>
  <conditionalFormatting sqref="AE9 AE11 AE13">
    <cfRule type="cellIs" dxfId="161" priority="203" operator="equal">
      <formula>"J"</formula>
    </cfRule>
  </conditionalFormatting>
  <conditionalFormatting sqref="CR9 CR11 CR13">
    <cfRule type="cellIs" dxfId="160" priority="177" stopIfTrue="1" operator="equal">
      <formula>"J"</formula>
    </cfRule>
  </conditionalFormatting>
  <conditionalFormatting sqref="DK9 DK11 DK13">
    <cfRule type="cellIs" dxfId="159" priority="175" stopIfTrue="1" operator="equal">
      <formula>"J"</formula>
    </cfRule>
  </conditionalFormatting>
  <conditionalFormatting sqref="AA9 AA11 AA13">
    <cfRule type="cellIs" dxfId="158" priority="174" stopIfTrue="1" operator="equal">
      <formula>"J"</formula>
    </cfRule>
  </conditionalFormatting>
  <conditionalFormatting sqref="AM8 AM10 AM12">
    <cfRule type="cellIs" dxfId="157" priority="161" stopIfTrue="1" operator="equal">
      <formula>0</formula>
    </cfRule>
  </conditionalFormatting>
  <conditionalFormatting sqref="AJ8:AL8 AJ10:AL10 AJ12:AL12">
    <cfRule type="cellIs" dxfId="156" priority="162" stopIfTrue="1" operator="equal">
      <formula>"J"</formula>
    </cfRule>
  </conditionalFormatting>
  <conditionalFormatting sqref="AN8 AN10 AN12">
    <cfRule type="cellIs" dxfId="155" priority="158" stopIfTrue="1" operator="equal">
      <formula>0</formula>
    </cfRule>
  </conditionalFormatting>
  <conditionalFormatting sqref="CP8 CP10 CP12">
    <cfRule type="cellIs" dxfId="154" priority="149" stopIfTrue="1" operator="equal">
      <formula>0</formula>
    </cfRule>
  </conditionalFormatting>
  <conditionalFormatting sqref="CM8 CM10 CM12">
    <cfRule type="cellIs" dxfId="153" priority="144" stopIfTrue="1" operator="equal">
      <formula>0</formula>
    </cfRule>
  </conditionalFormatting>
  <conditionalFormatting sqref="CJ8:CL8 CJ10:CL10 CJ12:CL12">
    <cfRule type="cellIs" dxfId="152" priority="145" stopIfTrue="1" operator="equal">
      <formula>"J"</formula>
    </cfRule>
  </conditionalFormatting>
  <conditionalFormatting sqref="CB8 CB10 CB12">
    <cfRule type="cellIs" dxfId="151" priority="103" stopIfTrue="1" operator="equal">
      <formula>"J"</formula>
    </cfRule>
  </conditionalFormatting>
  <conditionalFormatting sqref="W8 W10 W12">
    <cfRule type="cellIs" dxfId="150" priority="168" stopIfTrue="1" operator="equal">
      <formula>0</formula>
    </cfRule>
  </conditionalFormatting>
  <conditionalFormatting sqref="BV8 BV10 BV12">
    <cfRule type="cellIs" dxfId="149" priority="156" stopIfTrue="1" operator="equal">
      <formula>0</formula>
    </cfRule>
  </conditionalFormatting>
  <conditionalFormatting sqref="BR8:BU8 BR10:BU10 BR12:BU12">
    <cfRule type="cellIs" dxfId="148" priority="157" stopIfTrue="1" operator="equal">
      <formula>"J"</formula>
    </cfRule>
  </conditionalFormatting>
  <conditionalFormatting sqref="BW8 BW10 BW12">
    <cfRule type="cellIs" dxfId="147" priority="153" stopIfTrue="1" operator="equal">
      <formula>0</formula>
    </cfRule>
  </conditionalFormatting>
  <conditionalFormatting sqref="DF8 DF10 DF12">
    <cfRule type="cellIs" dxfId="146" priority="150" stopIfTrue="1" operator="equal">
      <formula>0</formula>
    </cfRule>
  </conditionalFormatting>
  <conditionalFormatting sqref="DJ8 DJ10 DJ12">
    <cfRule type="cellIs" dxfId="145" priority="148" stopIfTrue="1" operator="equal">
      <formula>"J"</formula>
    </cfRule>
  </conditionalFormatting>
  <conditionalFormatting sqref="CW8 CW10 CW12">
    <cfRule type="cellIs" dxfId="144" priority="135" stopIfTrue="1" operator="equal">
      <formula>"J"</formula>
    </cfRule>
  </conditionalFormatting>
  <conditionalFormatting sqref="AF8 AF10 AF12">
    <cfRule type="cellIs" dxfId="143" priority="120" stopIfTrue="1" operator="equal">
      <formula>"J"</formula>
    </cfRule>
  </conditionalFormatting>
  <conditionalFormatting sqref="AR8 AR10 AR12">
    <cfRule type="cellIs" dxfId="142" priority="117" stopIfTrue="1" operator="equal">
      <formula>"J"</formula>
    </cfRule>
  </conditionalFormatting>
  <conditionalFormatting sqref="AV8 AV10 AV12">
    <cfRule type="cellIs" dxfId="141" priority="114" stopIfTrue="1" operator="equal">
      <formula>"J"</formula>
    </cfRule>
  </conditionalFormatting>
  <conditionalFormatting sqref="BJ8 BJ10 BJ12">
    <cfRule type="cellIs" dxfId="140" priority="110" stopIfTrue="1" operator="equal">
      <formula>"J"</formula>
    </cfRule>
  </conditionalFormatting>
  <conditionalFormatting sqref="BO8 BO10 BO12">
    <cfRule type="cellIs" dxfId="139" priority="107" stopIfTrue="1" operator="equal">
      <formula>"J"</formula>
    </cfRule>
  </conditionalFormatting>
  <conditionalFormatting sqref="CA8 CA10 CA12">
    <cfRule type="cellIs" dxfId="138" priority="104" stopIfTrue="1" operator="equal">
      <formula>"J"</formula>
    </cfRule>
  </conditionalFormatting>
  <conditionalFormatting sqref="CD8 CD10 CD12">
    <cfRule type="cellIs" dxfId="137" priority="101" stopIfTrue="1" operator="equal">
      <formula>"J"</formula>
    </cfRule>
  </conditionalFormatting>
  <conditionalFormatting sqref="CG8 CG10 CG12">
    <cfRule type="cellIs" dxfId="136" priority="98" stopIfTrue="1" operator="equal">
      <formula>"J"</formula>
    </cfRule>
  </conditionalFormatting>
  <conditionalFormatting sqref="CQ8 CQ10 CQ12">
    <cfRule type="cellIs" dxfId="135" priority="96" stopIfTrue="1" operator="equal">
      <formula>"J"</formula>
    </cfRule>
  </conditionalFormatting>
  <conditionalFormatting sqref="X8 X10 X12">
    <cfRule type="cellIs" dxfId="134" priority="171" operator="equal">
      <formula>"J"</formula>
    </cfRule>
  </conditionalFormatting>
  <conditionalFormatting sqref="M8:N8 M10:N10 M12:N12">
    <cfRule type="cellIs" dxfId="133" priority="170" operator="equal">
      <formula>"J"</formula>
    </cfRule>
  </conditionalFormatting>
  <conditionalFormatting sqref="Y8:Z8 Y10:Z10 Y12:Z12">
    <cfRule type="cellIs" dxfId="132" priority="169" operator="equal">
      <formula>"J"</formula>
    </cfRule>
  </conditionalFormatting>
  <conditionalFormatting sqref="BG8 BG10 BG12">
    <cfRule type="cellIs" dxfId="131" priority="165" operator="equal">
      <formula>"J"</formula>
    </cfRule>
  </conditionalFormatting>
  <conditionalFormatting sqref="BH8 BH10 BH12">
    <cfRule type="cellIs" dxfId="130" priority="164" operator="equal">
      <formula>"J"</formula>
    </cfRule>
  </conditionalFormatting>
  <conditionalFormatting sqref="AO8 AO10 AO12">
    <cfRule type="cellIs" dxfId="129" priority="160" operator="equal">
      <formula>"J"</formula>
    </cfRule>
  </conditionalFormatting>
  <conditionalFormatting sqref="AP8 AP10 AP12">
    <cfRule type="cellIs" dxfId="128" priority="159" operator="equal">
      <formula>"J"</formula>
    </cfRule>
  </conditionalFormatting>
  <conditionalFormatting sqref="BX8 BX10 BX12">
    <cfRule type="cellIs" dxfId="127" priority="155" operator="equal">
      <formula>"J"</formula>
    </cfRule>
  </conditionalFormatting>
  <conditionalFormatting sqref="BY8 BY10 BY12">
    <cfRule type="cellIs" dxfId="126" priority="154" operator="equal">
      <formula>"J"</formula>
    </cfRule>
  </conditionalFormatting>
  <conditionalFormatting sqref="DG8 DG10 DG12">
    <cfRule type="cellIs" dxfId="125" priority="152" operator="equal">
      <formula>"J"</formula>
    </cfRule>
  </conditionalFormatting>
  <conditionalFormatting sqref="DH8 DH10 DH12">
    <cfRule type="cellIs" dxfId="124" priority="151" operator="equal">
      <formula>"J"</formula>
    </cfRule>
  </conditionalFormatting>
  <conditionalFormatting sqref="O8 O10 O12">
    <cfRule type="cellIs" dxfId="123" priority="147" operator="equal">
      <formula>"J"</formula>
    </cfRule>
  </conditionalFormatting>
  <conditionalFormatting sqref="P8 P10 P12">
    <cfRule type="cellIs" dxfId="122" priority="146" operator="equal">
      <formula>"J"</formula>
    </cfRule>
  </conditionalFormatting>
  <conditionalFormatting sqref="CV8 CV10 CV12">
    <cfRule type="cellIs" dxfId="121" priority="136" stopIfTrue="1" operator="equal">
      <formula>"J"</formula>
    </cfRule>
  </conditionalFormatting>
  <conditionalFormatting sqref="CO8 CO10 CO12">
    <cfRule type="cellIs" dxfId="120" priority="143" operator="equal">
      <formula>"J"</formula>
    </cfRule>
  </conditionalFormatting>
  <conditionalFormatting sqref="DC8 DC10 DC12">
    <cfRule type="cellIs" dxfId="119" priority="140" stopIfTrue="1" operator="equal">
      <formula>0</formula>
    </cfRule>
  </conditionalFormatting>
  <conditionalFormatting sqref="CY8:DB8 CY10:DB10 CY12:DB12">
    <cfRule type="cellIs" dxfId="118" priority="141" stopIfTrue="1" operator="equal">
      <formula>"J"</formula>
    </cfRule>
  </conditionalFormatting>
  <conditionalFormatting sqref="DE8 DE10 DE12">
    <cfRule type="cellIs" dxfId="117" priority="139" operator="equal">
      <formula>"J"</formula>
    </cfRule>
  </conditionalFormatting>
  <conditionalFormatting sqref="CU8 CU10 CU12">
    <cfRule type="cellIs" dxfId="116" priority="138" operator="equal">
      <formula>"J"</formula>
    </cfRule>
  </conditionalFormatting>
  <conditionalFormatting sqref="DD8 DD10 DD12">
    <cfRule type="cellIs" dxfId="115" priority="137" stopIfTrue="1" operator="equal">
      <formula>0</formula>
    </cfRule>
  </conditionalFormatting>
  <conditionalFormatting sqref="DI8 DI10 DI12">
    <cfRule type="cellIs" dxfId="114" priority="133" operator="equal">
      <formula>"J"</formula>
    </cfRule>
  </conditionalFormatting>
  <conditionalFormatting sqref="AB8 AB10 AB12">
    <cfRule type="cellIs" dxfId="113" priority="132" operator="equal">
      <formula>"J"</formula>
    </cfRule>
  </conditionalFormatting>
  <conditionalFormatting sqref="AG8 AG10 AG12">
    <cfRule type="cellIs" dxfId="112" priority="131" operator="equal">
      <formula>"J"</formula>
    </cfRule>
  </conditionalFormatting>
  <conditionalFormatting sqref="AS8 AS10 AS12">
    <cfRule type="cellIs" dxfId="111" priority="130" operator="equal">
      <formula>"J"</formula>
    </cfRule>
  </conditionalFormatting>
  <conditionalFormatting sqref="BI8 BI10 BI12">
    <cfRule type="cellIs" dxfId="110" priority="129" operator="equal">
      <formula>"J"</formula>
    </cfRule>
  </conditionalFormatting>
  <conditionalFormatting sqref="BL8 BL10 BL12">
    <cfRule type="cellIs" dxfId="109" priority="128" operator="equal">
      <formula>"J"</formula>
    </cfRule>
  </conditionalFormatting>
  <conditionalFormatting sqref="BQ8 BQ10 BQ12">
    <cfRule type="cellIs" dxfId="108" priority="127" operator="equal">
      <formula>"J"</formula>
    </cfRule>
  </conditionalFormatting>
  <conditionalFormatting sqref="CS8 CS10 CS12">
    <cfRule type="cellIs" dxfId="107" priority="126" operator="equal">
      <formula>"J"</formula>
    </cfRule>
  </conditionalFormatting>
  <conditionalFormatting sqref="CT8 CT10 CT12">
    <cfRule type="cellIs" dxfId="106" priority="125" operator="equal">
      <formula>"J"</formula>
    </cfRule>
  </conditionalFormatting>
  <conditionalFormatting sqref="CI8 CI10 CI12">
    <cfRule type="cellIs" dxfId="105" priority="124" operator="equal">
      <formula>"J"</formula>
    </cfRule>
  </conditionalFormatting>
  <conditionalFormatting sqref="AC8 AC10 AC12">
    <cfRule type="cellIs" dxfId="104" priority="123" operator="equal">
      <formula>"J"</formula>
    </cfRule>
  </conditionalFormatting>
  <conditionalFormatting sqref="AD8 AD10 AD12">
    <cfRule type="cellIs" dxfId="103" priority="122" operator="equal">
      <formula>"J"</formula>
    </cfRule>
  </conditionalFormatting>
  <conditionalFormatting sqref="AE8 AE10 AE12">
    <cfRule type="cellIs" dxfId="102" priority="121" operator="equal">
      <formula>"J"</formula>
    </cfRule>
  </conditionalFormatting>
  <conditionalFormatting sqref="AI8 AI10 AI12">
    <cfRule type="cellIs" dxfId="101" priority="118" stopIfTrue="1" operator="equal">
      <formula>"J"</formula>
    </cfRule>
  </conditionalFormatting>
  <conditionalFormatting sqref="AU8 AU10 AU12">
    <cfRule type="cellIs" dxfId="100" priority="115" stopIfTrue="1" operator="equal">
      <formula>"J"</formula>
    </cfRule>
  </conditionalFormatting>
  <conditionalFormatting sqref="AX8 AX10 AX12">
    <cfRule type="cellIs" dxfId="99" priority="112" stopIfTrue="1" operator="equal">
      <formula>"J"</formula>
    </cfRule>
  </conditionalFormatting>
  <conditionalFormatting sqref="BA8 BA10 BA12">
    <cfRule type="cellIs" dxfId="98" priority="111" stopIfTrue="1" operator="equal">
      <formula>"J"</formula>
    </cfRule>
  </conditionalFormatting>
  <conditionalFormatting sqref="BN8 BN10 BN12">
    <cfRule type="cellIs" dxfId="97" priority="108" stopIfTrue="1" operator="equal">
      <formula>"J"</formula>
    </cfRule>
  </conditionalFormatting>
  <conditionalFormatting sqref="BZ8 BZ10 BZ12">
    <cfRule type="cellIs" dxfId="96" priority="105" stopIfTrue="1" operator="equal">
      <formula>"J"</formula>
    </cfRule>
  </conditionalFormatting>
  <conditionalFormatting sqref="CC8 CC10 CC12">
    <cfRule type="cellIs" dxfId="95" priority="102" stopIfTrue="1" operator="equal">
      <formula>"J"</formula>
    </cfRule>
  </conditionalFormatting>
  <conditionalFormatting sqref="CF8 CF10 CF12">
    <cfRule type="cellIs" dxfId="94" priority="99" stopIfTrue="1" operator="equal">
      <formula>"J"</formula>
    </cfRule>
  </conditionalFormatting>
  <conditionalFormatting sqref="CR8 CR10 CR12">
    <cfRule type="cellIs" dxfId="93" priority="95" stopIfTrue="1" operator="equal">
      <formula>"J"</formula>
    </cfRule>
  </conditionalFormatting>
  <conditionalFormatting sqref="DK8 DK10 DK12">
    <cfRule type="cellIs" dxfId="92" priority="93" stopIfTrue="1" operator="equal">
      <formula>"J"</formula>
    </cfRule>
  </conditionalFormatting>
  <conditionalFormatting sqref="AA8 AA10 AA12">
    <cfRule type="cellIs" dxfId="91" priority="92" stopIfTrue="1" operator="equal">
      <formula>"J"</formula>
    </cfRule>
  </conditionalFormatting>
  <conditionalFormatting sqref="K8 K10 K12">
    <cfRule type="cellIs" dxfId="90" priority="90" stopIfTrue="1" operator="equal">
      <formula>"J"</formula>
    </cfRule>
  </conditionalFormatting>
  <conditionalFormatting sqref="K9 K11 K13">
    <cfRule type="cellIs" dxfId="89" priority="91" stopIfTrue="1" operator="equal">
      <formula>"J"</formula>
    </cfRule>
  </conditionalFormatting>
  <conditionalFormatting sqref="AY9 AY11 AY13">
    <cfRule type="cellIs" dxfId="88" priority="89" operator="equal">
      <formula>"J"</formula>
    </cfRule>
  </conditionalFormatting>
  <conditionalFormatting sqref="AY8 AY10 AY12">
    <cfRule type="cellIs" dxfId="87" priority="88" operator="equal">
      <formula>"J"</formula>
    </cfRule>
  </conditionalFormatting>
  <conditionalFormatting sqref="AZ9 AZ11 AZ13">
    <cfRule type="cellIs" dxfId="86" priority="87" operator="equal">
      <formula>"J"</formula>
    </cfRule>
  </conditionalFormatting>
  <conditionalFormatting sqref="AZ8 AZ10 AZ12">
    <cfRule type="cellIs" dxfId="85" priority="86" operator="equal">
      <formula>"J"</formula>
    </cfRule>
  </conditionalFormatting>
  <conditionalFormatting sqref="AQ37 V37">
    <cfRule type="cellIs" dxfId="84" priority="84" stopIfTrue="1" operator="equal">
      <formula>0</formula>
    </cfRule>
  </conditionalFormatting>
  <conditionalFormatting sqref="J37 Q37:U37 L37">
    <cfRule type="cellIs" dxfId="83" priority="85" stopIfTrue="1" operator="equal">
      <formula>"J"</formula>
    </cfRule>
  </conditionalFormatting>
  <conditionalFormatting sqref="BE37">
    <cfRule type="cellIs" dxfId="82" priority="78" stopIfTrue="1" operator="equal">
      <formula>0</formula>
    </cfRule>
  </conditionalFormatting>
  <conditionalFormatting sqref="BB37:BD37">
    <cfRule type="cellIs" dxfId="81" priority="79" stopIfTrue="1" operator="equal">
      <formula>"J"</formula>
    </cfRule>
  </conditionalFormatting>
  <conditionalFormatting sqref="BF37">
    <cfRule type="cellIs" dxfId="80" priority="75" stopIfTrue="1" operator="equal">
      <formula>0</formula>
    </cfRule>
  </conditionalFormatting>
  <conditionalFormatting sqref="CN37">
    <cfRule type="cellIs" dxfId="79" priority="54" stopIfTrue="1" operator="equal">
      <formula>0</formula>
    </cfRule>
  </conditionalFormatting>
  <conditionalFormatting sqref="CX37">
    <cfRule type="cellIs" dxfId="78" priority="46" stopIfTrue="1" operator="equal">
      <formula>"J"</formula>
    </cfRule>
  </conditionalFormatting>
  <conditionalFormatting sqref="AH37">
    <cfRule type="cellIs" dxfId="77" priority="31" stopIfTrue="1" operator="equal">
      <formula>"J"</formula>
    </cfRule>
  </conditionalFormatting>
  <conditionalFormatting sqref="AT37">
    <cfRule type="cellIs" dxfId="76" priority="28" stopIfTrue="1" operator="equal">
      <formula>"J"</formula>
    </cfRule>
  </conditionalFormatting>
  <conditionalFormatting sqref="AW37">
    <cfRule type="cellIs" dxfId="75" priority="25" stopIfTrue="1" operator="equal">
      <formula>"J"</formula>
    </cfRule>
  </conditionalFormatting>
  <conditionalFormatting sqref="BM37">
    <cfRule type="cellIs" dxfId="74" priority="21" stopIfTrue="1" operator="equal">
      <formula>"J"</formula>
    </cfRule>
  </conditionalFormatting>
  <conditionalFormatting sqref="BP37">
    <cfRule type="cellIs" dxfId="73" priority="18" stopIfTrue="1" operator="equal">
      <formula>"J"</formula>
    </cfRule>
  </conditionalFormatting>
  <conditionalFormatting sqref="CE37">
    <cfRule type="cellIs" dxfId="72" priority="12" stopIfTrue="1" operator="equal">
      <formula>"J"</formula>
    </cfRule>
  </conditionalFormatting>
  <conditionalFormatting sqref="CH37">
    <cfRule type="cellIs" dxfId="71" priority="9" stopIfTrue="1" operator="equal">
      <formula>"J"</formula>
    </cfRule>
  </conditionalFormatting>
  <conditionalFormatting sqref="BK37">
    <cfRule type="cellIs" dxfId="70" priority="6" stopIfTrue="1" operator="equal">
      <formula>"J"</formula>
    </cfRule>
  </conditionalFormatting>
  <conditionalFormatting sqref="AM37">
    <cfRule type="cellIs" dxfId="69" priority="73" stopIfTrue="1" operator="equal">
      <formula>0</formula>
    </cfRule>
  </conditionalFormatting>
  <conditionalFormatting sqref="AJ37:AL37">
    <cfRule type="cellIs" dxfId="68" priority="74" stopIfTrue="1" operator="equal">
      <formula>"J"</formula>
    </cfRule>
  </conditionalFormatting>
  <conditionalFormatting sqref="AN37">
    <cfRule type="cellIs" dxfId="67" priority="70" stopIfTrue="1" operator="equal">
      <formula>0</formula>
    </cfRule>
  </conditionalFormatting>
  <conditionalFormatting sqref="CP37">
    <cfRule type="cellIs" dxfId="66" priority="61" stopIfTrue="1" operator="equal">
      <formula>0</formula>
    </cfRule>
  </conditionalFormatting>
  <conditionalFormatting sqref="CM37">
    <cfRule type="cellIs" dxfId="65" priority="56" stopIfTrue="1" operator="equal">
      <formula>0</formula>
    </cfRule>
  </conditionalFormatting>
  <conditionalFormatting sqref="CJ37:CL37">
    <cfRule type="cellIs" dxfId="64" priority="57" stopIfTrue="1" operator="equal">
      <formula>"J"</formula>
    </cfRule>
  </conditionalFormatting>
  <conditionalFormatting sqref="CB37">
    <cfRule type="cellIs" dxfId="63" priority="15" stopIfTrue="1" operator="equal">
      <formula>"J"</formula>
    </cfRule>
  </conditionalFormatting>
  <conditionalFormatting sqref="W37">
    <cfRule type="cellIs" dxfId="62" priority="80" stopIfTrue="1" operator="equal">
      <formula>0</formula>
    </cfRule>
  </conditionalFormatting>
  <conditionalFormatting sqref="BV37">
    <cfRule type="cellIs" dxfId="61" priority="68" stopIfTrue="1" operator="equal">
      <formula>0</formula>
    </cfRule>
  </conditionalFormatting>
  <conditionalFormatting sqref="BR37:BU37">
    <cfRule type="cellIs" dxfId="60" priority="69" stopIfTrue="1" operator="equal">
      <formula>"J"</formula>
    </cfRule>
  </conditionalFormatting>
  <conditionalFormatting sqref="BW37">
    <cfRule type="cellIs" dxfId="59" priority="65" stopIfTrue="1" operator="equal">
      <formula>0</formula>
    </cfRule>
  </conditionalFormatting>
  <conditionalFormatting sqref="DF37">
    <cfRule type="cellIs" dxfId="58" priority="62" stopIfTrue="1" operator="equal">
      <formula>0</formula>
    </cfRule>
  </conditionalFormatting>
  <conditionalFormatting sqref="DJ37">
    <cfRule type="cellIs" dxfId="57" priority="60" stopIfTrue="1" operator="equal">
      <formula>"J"</formula>
    </cfRule>
  </conditionalFormatting>
  <conditionalFormatting sqref="CW37">
    <cfRule type="cellIs" dxfId="56" priority="47" stopIfTrue="1" operator="equal">
      <formula>"J"</formula>
    </cfRule>
  </conditionalFormatting>
  <conditionalFormatting sqref="AF37">
    <cfRule type="cellIs" dxfId="55" priority="32" stopIfTrue="1" operator="equal">
      <formula>"J"</formula>
    </cfRule>
  </conditionalFormatting>
  <conditionalFormatting sqref="AR37">
    <cfRule type="cellIs" dxfId="54" priority="29" stopIfTrue="1" operator="equal">
      <formula>"J"</formula>
    </cfRule>
  </conditionalFormatting>
  <conditionalFormatting sqref="AV37">
    <cfRule type="cellIs" dxfId="53" priority="26" stopIfTrue="1" operator="equal">
      <formula>"J"</formula>
    </cfRule>
  </conditionalFormatting>
  <conditionalFormatting sqref="BJ37">
    <cfRule type="cellIs" dxfId="52" priority="22" stopIfTrue="1" operator="equal">
      <formula>"J"</formula>
    </cfRule>
  </conditionalFormatting>
  <conditionalFormatting sqref="BO37">
    <cfRule type="cellIs" dxfId="51" priority="19" stopIfTrue="1" operator="equal">
      <formula>"J"</formula>
    </cfRule>
  </conditionalFormatting>
  <conditionalFormatting sqref="CA37">
    <cfRule type="cellIs" dxfId="50" priority="16" stopIfTrue="1" operator="equal">
      <formula>"J"</formula>
    </cfRule>
  </conditionalFormatting>
  <conditionalFormatting sqref="CD37">
    <cfRule type="cellIs" dxfId="49" priority="13" stopIfTrue="1" operator="equal">
      <formula>"J"</formula>
    </cfRule>
  </conditionalFormatting>
  <conditionalFormatting sqref="CG37">
    <cfRule type="cellIs" dxfId="48" priority="10" stopIfTrue="1" operator="equal">
      <formula>"J"</formula>
    </cfRule>
  </conditionalFormatting>
  <conditionalFormatting sqref="CQ37">
    <cfRule type="cellIs" dxfId="47" priority="8" stopIfTrue="1" operator="equal">
      <formula>"J"</formula>
    </cfRule>
  </conditionalFormatting>
  <conditionalFormatting sqref="X37">
    <cfRule type="cellIs" dxfId="46" priority="83" operator="equal">
      <formula>"J"</formula>
    </cfRule>
  </conditionalFormatting>
  <conditionalFormatting sqref="M37:N37">
    <cfRule type="cellIs" dxfId="45" priority="82" operator="equal">
      <formula>"J"</formula>
    </cfRule>
  </conditionalFormatting>
  <conditionalFormatting sqref="Y37:Z37">
    <cfRule type="cellIs" dxfId="44" priority="81" operator="equal">
      <formula>"J"</formula>
    </cfRule>
  </conditionalFormatting>
  <conditionalFormatting sqref="BG37">
    <cfRule type="cellIs" dxfId="43" priority="77" operator="equal">
      <formula>"J"</formula>
    </cfRule>
  </conditionalFormatting>
  <conditionalFormatting sqref="BH37">
    <cfRule type="cellIs" dxfId="42" priority="76" operator="equal">
      <formula>"J"</formula>
    </cfRule>
  </conditionalFormatting>
  <conditionalFormatting sqref="AO37">
    <cfRule type="cellIs" dxfId="41" priority="72" operator="equal">
      <formula>"J"</formula>
    </cfRule>
  </conditionalFormatting>
  <conditionalFormatting sqref="AP37">
    <cfRule type="cellIs" dxfId="40" priority="71" operator="equal">
      <formula>"J"</formula>
    </cfRule>
  </conditionalFormatting>
  <conditionalFormatting sqref="BX37">
    <cfRule type="cellIs" dxfId="39" priority="67" operator="equal">
      <formula>"J"</formula>
    </cfRule>
  </conditionalFormatting>
  <conditionalFormatting sqref="BY37">
    <cfRule type="cellIs" dxfId="38" priority="66" operator="equal">
      <formula>"J"</formula>
    </cfRule>
  </conditionalFormatting>
  <conditionalFormatting sqref="DG37">
    <cfRule type="cellIs" dxfId="37" priority="64" operator="equal">
      <formula>"J"</formula>
    </cfRule>
  </conditionalFormatting>
  <conditionalFormatting sqref="DH37">
    <cfRule type="cellIs" dxfId="36" priority="63" operator="equal">
      <formula>"J"</formula>
    </cfRule>
  </conditionalFormatting>
  <conditionalFormatting sqref="O37">
    <cfRule type="cellIs" dxfId="35" priority="59" operator="equal">
      <formula>"J"</formula>
    </cfRule>
  </conditionalFormatting>
  <conditionalFormatting sqref="P37">
    <cfRule type="cellIs" dxfId="34" priority="58" operator="equal">
      <formula>"J"</formula>
    </cfRule>
  </conditionalFormatting>
  <conditionalFormatting sqref="CV37">
    <cfRule type="cellIs" dxfId="33" priority="48" stopIfTrue="1" operator="equal">
      <formula>"J"</formula>
    </cfRule>
  </conditionalFormatting>
  <conditionalFormatting sqref="CO37">
    <cfRule type="cellIs" dxfId="32" priority="55" operator="equal">
      <formula>"J"</formula>
    </cfRule>
  </conditionalFormatting>
  <conditionalFormatting sqref="DC37">
    <cfRule type="cellIs" dxfId="31" priority="52" stopIfTrue="1" operator="equal">
      <formula>0</formula>
    </cfRule>
  </conditionalFormatting>
  <conditionalFormatting sqref="CY37:DB37">
    <cfRule type="cellIs" dxfId="30" priority="53" stopIfTrue="1" operator="equal">
      <formula>"J"</formula>
    </cfRule>
  </conditionalFormatting>
  <conditionalFormatting sqref="DE37">
    <cfRule type="cellIs" dxfId="29" priority="51" operator="equal">
      <formula>"J"</formula>
    </cfRule>
  </conditionalFormatting>
  <conditionalFormatting sqref="CU37">
    <cfRule type="cellIs" dxfId="28" priority="50" operator="equal">
      <formula>"J"</formula>
    </cfRule>
  </conditionalFormatting>
  <conditionalFormatting sqref="DD37">
    <cfRule type="cellIs" dxfId="27" priority="49" stopIfTrue="1" operator="equal">
      <formula>0</formula>
    </cfRule>
  </conditionalFormatting>
  <conditionalFormatting sqref="DI37">
    <cfRule type="cellIs" dxfId="26" priority="45" operator="equal">
      <formula>"J"</formula>
    </cfRule>
  </conditionalFormatting>
  <conditionalFormatting sqref="AB37">
    <cfRule type="cellIs" dxfId="25" priority="44" operator="equal">
      <formula>"J"</formula>
    </cfRule>
  </conditionalFormatting>
  <conditionalFormatting sqref="AG37">
    <cfRule type="cellIs" dxfId="24" priority="43" operator="equal">
      <formula>"J"</formula>
    </cfRule>
  </conditionalFormatting>
  <conditionalFormatting sqref="AS37">
    <cfRule type="cellIs" dxfId="23" priority="42" operator="equal">
      <formula>"J"</formula>
    </cfRule>
  </conditionalFormatting>
  <conditionalFormatting sqref="BI37">
    <cfRule type="cellIs" dxfId="22" priority="41" operator="equal">
      <formula>"J"</formula>
    </cfRule>
  </conditionalFormatting>
  <conditionalFormatting sqref="BL37">
    <cfRule type="cellIs" dxfId="21" priority="40" operator="equal">
      <formula>"J"</formula>
    </cfRule>
  </conditionalFormatting>
  <conditionalFormatting sqref="BQ37">
    <cfRule type="cellIs" dxfId="20" priority="39" operator="equal">
      <formula>"J"</formula>
    </cfRule>
  </conditionalFormatting>
  <conditionalFormatting sqref="CS37">
    <cfRule type="cellIs" dxfId="19" priority="38" operator="equal">
      <formula>"J"</formula>
    </cfRule>
  </conditionalFormatting>
  <conditionalFormatting sqref="CT37">
    <cfRule type="cellIs" dxfId="18" priority="37" operator="equal">
      <formula>"J"</formula>
    </cfRule>
  </conditionalFormatting>
  <conditionalFormatting sqref="CI37">
    <cfRule type="cellIs" dxfId="17" priority="36" operator="equal">
      <formula>"J"</formula>
    </cfRule>
  </conditionalFormatting>
  <conditionalFormatting sqref="AC37">
    <cfRule type="cellIs" dxfId="16" priority="35" operator="equal">
      <formula>"J"</formula>
    </cfRule>
  </conditionalFormatting>
  <conditionalFormatting sqref="AD37">
    <cfRule type="cellIs" dxfId="15" priority="34" operator="equal">
      <formula>"J"</formula>
    </cfRule>
  </conditionalFormatting>
  <conditionalFormatting sqref="AE37">
    <cfRule type="cellIs" dxfId="14" priority="33" operator="equal">
      <formula>"J"</formula>
    </cfRule>
  </conditionalFormatting>
  <conditionalFormatting sqref="AI37">
    <cfRule type="cellIs" dxfId="13" priority="30" stopIfTrue="1" operator="equal">
      <formula>"J"</formula>
    </cfRule>
  </conditionalFormatting>
  <conditionalFormatting sqref="AU37">
    <cfRule type="cellIs" dxfId="12" priority="27" stopIfTrue="1" operator="equal">
      <formula>"J"</formula>
    </cfRule>
  </conditionalFormatting>
  <conditionalFormatting sqref="AX37">
    <cfRule type="cellIs" dxfId="11" priority="24" stopIfTrue="1" operator="equal">
      <formula>"J"</formula>
    </cfRule>
  </conditionalFormatting>
  <conditionalFormatting sqref="BA37">
    <cfRule type="cellIs" dxfId="10" priority="23" stopIfTrue="1" operator="equal">
      <formula>"J"</formula>
    </cfRule>
  </conditionalFormatting>
  <conditionalFormatting sqref="BN37">
    <cfRule type="cellIs" dxfId="9" priority="20" stopIfTrue="1" operator="equal">
      <formula>"J"</formula>
    </cfRule>
  </conditionalFormatting>
  <conditionalFormatting sqref="BZ37">
    <cfRule type="cellIs" dxfId="8" priority="17" stopIfTrue="1" operator="equal">
      <formula>"J"</formula>
    </cfRule>
  </conditionalFormatting>
  <conditionalFormatting sqref="CC37">
    <cfRule type="cellIs" dxfId="7" priority="14" stopIfTrue="1" operator="equal">
      <formula>"J"</formula>
    </cfRule>
  </conditionalFormatting>
  <conditionalFormatting sqref="CF37">
    <cfRule type="cellIs" dxfId="6" priority="11" stopIfTrue="1" operator="equal">
      <formula>"J"</formula>
    </cfRule>
  </conditionalFormatting>
  <conditionalFormatting sqref="CR37">
    <cfRule type="cellIs" dxfId="5" priority="7" stopIfTrue="1" operator="equal">
      <formula>"J"</formula>
    </cfRule>
  </conditionalFormatting>
  <conditionalFormatting sqref="DK37">
    <cfRule type="cellIs" dxfId="4" priority="5" stopIfTrue="1" operator="equal">
      <formula>"J"</formula>
    </cfRule>
  </conditionalFormatting>
  <conditionalFormatting sqref="AA37">
    <cfRule type="cellIs" dxfId="3" priority="4" stopIfTrue="1" operator="equal">
      <formula>"J"</formula>
    </cfRule>
  </conditionalFormatting>
  <conditionalFormatting sqref="K37">
    <cfRule type="cellIs" dxfId="2" priority="3" stopIfTrue="1" operator="equal">
      <formula>"J"</formula>
    </cfRule>
  </conditionalFormatting>
  <conditionalFormatting sqref="AY37">
    <cfRule type="cellIs" dxfId="1" priority="2" operator="equal">
      <formula>"J"</formula>
    </cfRule>
  </conditionalFormatting>
  <conditionalFormatting sqref="AZ37">
    <cfRule type="cellIs" dxfId="0" priority="1" operator="equal">
      <formula>"J"</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3"/>
  <dimension ref="A1:F99"/>
  <sheetViews>
    <sheetView workbookViewId="0">
      <pane xSplit="4" ySplit="7" topLeftCell="E8" activePane="bottomRight" state="frozen"/>
      <selection pane="topRight" activeCell="E1" sqref="E1"/>
      <selection pane="bottomLeft" activeCell="A8" sqref="A8"/>
      <selection pane="bottomRight" activeCell="H15" sqref="H15"/>
    </sheetView>
  </sheetViews>
  <sheetFormatPr defaultColWidth="9.1796875" defaultRowHeight="14.5" x14ac:dyDescent="0.35"/>
  <cols>
    <col min="1" max="1" width="12.26953125" customWidth="1"/>
    <col min="2" max="2" width="12.81640625" customWidth="1"/>
    <col min="3" max="3" width="19.26953125" customWidth="1"/>
    <col min="4" max="4" width="56.26953125" customWidth="1"/>
  </cols>
  <sheetData>
    <row r="1" spans="1:6" x14ac:dyDescent="0.35">
      <c r="A1" s="34"/>
      <c r="B1" s="19"/>
      <c r="C1" s="19"/>
    </row>
    <row r="2" spans="1:6" ht="15.5" x14ac:dyDescent="0.35">
      <c r="A2" s="8" t="s">
        <v>15</v>
      </c>
      <c r="B2" s="4"/>
      <c r="C2" s="4"/>
    </row>
    <row r="3" spans="1:6" x14ac:dyDescent="0.35">
      <c r="A3" s="10"/>
      <c r="B3" s="4"/>
      <c r="C3" s="4"/>
    </row>
    <row r="4" spans="1:6" x14ac:dyDescent="0.35">
      <c r="A4" s="10"/>
      <c r="B4" s="4"/>
      <c r="C4" s="4"/>
    </row>
    <row r="5" spans="1:6" x14ac:dyDescent="0.35">
      <c r="A5" s="10"/>
      <c r="B5" s="4"/>
      <c r="C5" s="4"/>
    </row>
    <row r="6" spans="1:6" ht="15" thickBot="1" x14ac:dyDescent="0.4">
      <c r="A6" s="137" t="s">
        <v>16</v>
      </c>
      <c r="B6" s="137"/>
      <c r="C6" s="137"/>
      <c r="D6" s="137"/>
    </row>
    <row r="7" spans="1:6" ht="15" thickBot="1" x14ac:dyDescent="0.4">
      <c r="A7" s="35" t="s">
        <v>17</v>
      </c>
      <c r="B7" s="36" t="s">
        <v>18</v>
      </c>
      <c r="C7" s="37" t="s">
        <v>19</v>
      </c>
      <c r="D7" s="38" t="s">
        <v>20</v>
      </c>
      <c r="E7" s="39"/>
      <c r="F7" s="39"/>
    </row>
    <row r="8" spans="1:6" ht="50.15" customHeight="1" x14ac:dyDescent="0.35">
      <c r="A8" s="40">
        <v>45869</v>
      </c>
      <c r="B8" s="41">
        <v>2</v>
      </c>
      <c r="C8" s="42">
        <f>IF(ISBLANK(B8),"",B8)</f>
        <v>2</v>
      </c>
      <c r="D8" s="43" t="s">
        <v>85</v>
      </c>
      <c r="E8" s="25"/>
      <c r="F8" s="25"/>
    </row>
    <row r="9" spans="1:6" ht="50.15" customHeight="1" x14ac:dyDescent="0.35">
      <c r="A9" s="40">
        <v>45870</v>
      </c>
      <c r="B9" s="41">
        <v>2</v>
      </c>
      <c r="C9" s="42">
        <f>IF(ISBLANK(B9),"",B9+C8)</f>
        <v>4</v>
      </c>
      <c r="D9" s="43" t="s">
        <v>86</v>
      </c>
      <c r="E9" s="25"/>
      <c r="F9" s="25"/>
    </row>
    <row r="10" spans="1:6" ht="50.15" customHeight="1" x14ac:dyDescent="0.35">
      <c r="A10" s="40">
        <v>45876</v>
      </c>
      <c r="B10" s="41">
        <v>2</v>
      </c>
      <c r="C10" s="42">
        <f t="shared" ref="C10:C47" si="0">IF(ISBLANK(B10),"",B10+C9)</f>
        <v>6</v>
      </c>
      <c r="D10" s="43" t="s">
        <v>87</v>
      </c>
      <c r="E10" s="25"/>
      <c r="F10" s="25"/>
    </row>
    <row r="11" spans="1:6" ht="50.15" customHeight="1" x14ac:dyDescent="0.35">
      <c r="A11" s="40">
        <v>45877</v>
      </c>
      <c r="B11" s="41">
        <v>2</v>
      </c>
      <c r="C11" s="42">
        <f t="shared" si="0"/>
        <v>8</v>
      </c>
      <c r="D11" s="43" t="s">
        <v>88</v>
      </c>
      <c r="E11" s="25"/>
      <c r="F11" s="25"/>
    </row>
    <row r="12" spans="1:6" ht="50.15" customHeight="1" x14ac:dyDescent="0.35">
      <c r="A12" s="40">
        <v>45883</v>
      </c>
      <c r="B12" s="41">
        <v>2</v>
      </c>
      <c r="C12" s="42">
        <f t="shared" si="0"/>
        <v>10</v>
      </c>
      <c r="D12" s="43" t="s">
        <v>89</v>
      </c>
      <c r="E12" s="25"/>
      <c r="F12" s="25"/>
    </row>
    <row r="13" spans="1:6" ht="50.15" customHeight="1" x14ac:dyDescent="0.35">
      <c r="A13" s="40">
        <v>45884</v>
      </c>
      <c r="B13" s="41">
        <v>2</v>
      </c>
      <c r="C13" s="42">
        <f t="shared" si="0"/>
        <v>12</v>
      </c>
      <c r="D13" s="43" t="s">
        <v>90</v>
      </c>
      <c r="E13" s="25"/>
      <c r="F13" s="25"/>
    </row>
    <row r="14" spans="1:6" ht="50.15" customHeight="1" x14ac:dyDescent="0.35">
      <c r="A14" s="40">
        <v>45890</v>
      </c>
      <c r="B14" s="41">
        <v>2</v>
      </c>
      <c r="C14" s="42">
        <f t="shared" si="0"/>
        <v>14</v>
      </c>
      <c r="D14" s="43" t="s">
        <v>91</v>
      </c>
      <c r="E14" s="25"/>
      <c r="F14" s="25"/>
    </row>
    <row r="15" spans="1:6" ht="50.15" customHeight="1" x14ac:dyDescent="0.35">
      <c r="A15" s="40">
        <v>45891</v>
      </c>
      <c r="B15" s="41">
        <v>2</v>
      </c>
      <c r="C15" s="42">
        <f t="shared" si="0"/>
        <v>16</v>
      </c>
      <c r="D15" s="43" t="s">
        <v>91</v>
      </c>
      <c r="E15" s="25"/>
      <c r="F15" s="25"/>
    </row>
    <row r="16" spans="1:6" ht="50.15" customHeight="1" x14ac:dyDescent="0.35">
      <c r="A16" s="40">
        <v>45897</v>
      </c>
      <c r="B16" s="41">
        <v>2</v>
      </c>
      <c r="C16" s="42">
        <f t="shared" si="0"/>
        <v>18</v>
      </c>
      <c r="D16" s="43" t="s">
        <v>92</v>
      </c>
      <c r="E16" s="25"/>
      <c r="F16" s="25"/>
    </row>
    <row r="17" spans="1:6" ht="50.15" customHeight="1" x14ac:dyDescent="0.35">
      <c r="A17" s="40">
        <v>45898</v>
      </c>
      <c r="B17" s="41">
        <v>2</v>
      </c>
      <c r="C17" s="42">
        <f t="shared" si="0"/>
        <v>20</v>
      </c>
      <c r="D17" s="43" t="s">
        <v>93</v>
      </c>
      <c r="E17" s="25"/>
      <c r="F17" s="25"/>
    </row>
    <row r="18" spans="1:6" ht="50.15" customHeight="1" x14ac:dyDescent="0.35">
      <c r="A18" s="40">
        <v>45904</v>
      </c>
      <c r="B18" s="41">
        <v>2</v>
      </c>
      <c r="C18" s="42">
        <f t="shared" si="0"/>
        <v>22</v>
      </c>
      <c r="D18" s="43" t="s">
        <v>94</v>
      </c>
      <c r="E18" s="25"/>
      <c r="F18" s="25"/>
    </row>
    <row r="19" spans="1:6" ht="50.15" customHeight="1" x14ac:dyDescent="0.35">
      <c r="A19" s="40">
        <v>45905</v>
      </c>
      <c r="B19" s="41">
        <v>2</v>
      </c>
      <c r="C19" s="42">
        <f t="shared" si="0"/>
        <v>24</v>
      </c>
      <c r="D19" s="43" t="s">
        <v>95</v>
      </c>
      <c r="E19" s="25"/>
      <c r="F19" s="25"/>
    </row>
    <row r="20" spans="1:6" ht="50.15" customHeight="1" x14ac:dyDescent="0.35">
      <c r="A20" s="40">
        <v>45911</v>
      </c>
      <c r="B20" s="41">
        <v>2</v>
      </c>
      <c r="C20" s="42">
        <f t="shared" si="0"/>
        <v>26</v>
      </c>
      <c r="D20" s="43" t="s">
        <v>96</v>
      </c>
      <c r="E20" s="25"/>
      <c r="F20" s="25"/>
    </row>
    <row r="21" spans="1:6" ht="50.15" customHeight="1" x14ac:dyDescent="0.35">
      <c r="A21" s="40">
        <v>45912</v>
      </c>
      <c r="B21" s="41">
        <v>2</v>
      </c>
      <c r="C21" s="42">
        <f t="shared" si="0"/>
        <v>28</v>
      </c>
      <c r="D21" s="43" t="s">
        <v>97</v>
      </c>
      <c r="E21" s="25"/>
      <c r="F21" s="25"/>
    </row>
    <row r="22" spans="1:6" ht="50.15" customHeight="1" x14ac:dyDescent="0.35">
      <c r="A22" s="40">
        <v>45913</v>
      </c>
      <c r="B22" s="41">
        <v>2</v>
      </c>
      <c r="C22" s="42">
        <f t="shared" si="0"/>
        <v>30</v>
      </c>
      <c r="D22" s="43" t="s">
        <v>98</v>
      </c>
      <c r="E22" s="25"/>
      <c r="F22" s="25"/>
    </row>
    <row r="23" spans="1:6" ht="50.15" customHeight="1" x14ac:dyDescent="0.35">
      <c r="A23" s="40">
        <v>45918</v>
      </c>
      <c r="B23" s="41">
        <v>2</v>
      </c>
      <c r="C23" s="42">
        <f t="shared" si="0"/>
        <v>32</v>
      </c>
      <c r="D23" s="43" t="s">
        <v>99</v>
      </c>
      <c r="E23" s="25"/>
      <c r="F23" s="25"/>
    </row>
    <row r="24" spans="1:6" ht="50.15" customHeight="1" x14ac:dyDescent="0.35">
      <c r="A24" s="40">
        <v>45919</v>
      </c>
      <c r="B24" s="41">
        <v>2</v>
      </c>
      <c r="C24" s="42">
        <f t="shared" si="0"/>
        <v>34</v>
      </c>
      <c r="D24" s="43" t="s">
        <v>100</v>
      </c>
      <c r="E24" s="25"/>
      <c r="F24" s="25"/>
    </row>
    <row r="25" spans="1:6" ht="50.15" customHeight="1" x14ac:dyDescent="0.35">
      <c r="A25" s="40">
        <v>45925</v>
      </c>
      <c r="B25" s="41">
        <v>2</v>
      </c>
      <c r="C25" s="42">
        <f t="shared" si="0"/>
        <v>36</v>
      </c>
      <c r="D25" s="43" t="s">
        <v>101</v>
      </c>
      <c r="E25" s="25"/>
      <c r="F25" s="25"/>
    </row>
    <row r="26" spans="1:6" ht="50.15" customHeight="1" x14ac:dyDescent="0.35">
      <c r="A26" s="40">
        <v>45926</v>
      </c>
      <c r="B26" s="41">
        <v>2</v>
      </c>
      <c r="C26" s="42">
        <f t="shared" si="0"/>
        <v>38</v>
      </c>
      <c r="D26" s="43" t="s">
        <v>102</v>
      </c>
      <c r="E26" s="25"/>
      <c r="F26" s="25"/>
    </row>
    <row r="27" spans="1:6" ht="50.15" customHeight="1" x14ac:dyDescent="0.35">
      <c r="A27" s="40">
        <v>45932</v>
      </c>
      <c r="B27" s="41">
        <v>2</v>
      </c>
      <c r="C27" s="42">
        <f t="shared" si="0"/>
        <v>40</v>
      </c>
      <c r="D27" s="43" t="s">
        <v>103</v>
      </c>
      <c r="E27" s="25"/>
      <c r="F27" s="25"/>
    </row>
    <row r="28" spans="1:6" ht="50.15" customHeight="1" x14ac:dyDescent="0.35">
      <c r="A28" s="40">
        <v>45933</v>
      </c>
      <c r="B28" s="41">
        <v>2</v>
      </c>
      <c r="C28" s="42">
        <f t="shared" si="0"/>
        <v>42</v>
      </c>
      <c r="D28" s="43" t="s">
        <v>104</v>
      </c>
      <c r="E28" s="25"/>
      <c r="F28" s="25"/>
    </row>
    <row r="29" spans="1:6" ht="50.15" customHeight="1" x14ac:dyDescent="0.35">
      <c r="A29" s="40">
        <v>45939</v>
      </c>
      <c r="B29" s="41">
        <v>2</v>
      </c>
      <c r="C29" s="42">
        <f t="shared" si="0"/>
        <v>44</v>
      </c>
      <c r="D29" s="43" t="s">
        <v>105</v>
      </c>
      <c r="E29" s="25"/>
      <c r="F29" s="25"/>
    </row>
    <row r="30" spans="1:6" ht="50.15" customHeight="1" x14ac:dyDescent="0.35">
      <c r="A30" s="40">
        <v>45940</v>
      </c>
      <c r="B30" s="41">
        <v>2</v>
      </c>
      <c r="C30" s="42">
        <f t="shared" si="0"/>
        <v>46</v>
      </c>
      <c r="D30" s="43" t="s">
        <v>105</v>
      </c>
      <c r="E30" s="25"/>
      <c r="F30" s="25"/>
    </row>
    <row r="31" spans="1:6" ht="50.15" customHeight="1" x14ac:dyDescent="0.35">
      <c r="A31" s="40">
        <v>45941</v>
      </c>
      <c r="B31" s="41">
        <v>2</v>
      </c>
      <c r="C31" s="42">
        <f t="shared" si="0"/>
        <v>48</v>
      </c>
      <c r="D31" s="43" t="s">
        <v>106</v>
      </c>
      <c r="E31" s="25"/>
      <c r="F31" s="25"/>
    </row>
    <row r="32" spans="1:6" ht="50.15" customHeight="1" x14ac:dyDescent="0.35">
      <c r="A32" s="40">
        <v>45946</v>
      </c>
      <c r="B32" s="41">
        <v>2</v>
      </c>
      <c r="C32" s="42">
        <f t="shared" si="0"/>
        <v>50</v>
      </c>
      <c r="D32" s="43" t="s">
        <v>106</v>
      </c>
      <c r="E32" s="25"/>
      <c r="F32" s="25"/>
    </row>
    <row r="33" spans="1:6" ht="50.15" customHeight="1" x14ac:dyDescent="0.35">
      <c r="A33" s="40">
        <v>45947</v>
      </c>
      <c r="B33" s="41">
        <v>2</v>
      </c>
      <c r="C33" s="42">
        <f t="shared" si="0"/>
        <v>52</v>
      </c>
      <c r="D33" s="43" t="s">
        <v>107</v>
      </c>
      <c r="E33" s="25"/>
      <c r="F33" s="25"/>
    </row>
    <row r="34" spans="1:6" ht="50.15" customHeight="1" x14ac:dyDescent="0.35">
      <c r="A34" s="40">
        <v>45953</v>
      </c>
      <c r="B34" s="41">
        <v>2</v>
      </c>
      <c r="C34" s="42">
        <f t="shared" si="0"/>
        <v>54</v>
      </c>
      <c r="D34" s="43" t="s">
        <v>108</v>
      </c>
      <c r="E34" s="25"/>
      <c r="F34" s="25"/>
    </row>
    <row r="35" spans="1:6" ht="50.15" customHeight="1" x14ac:dyDescent="0.35">
      <c r="A35" s="40">
        <v>45960</v>
      </c>
      <c r="B35" s="41">
        <v>2</v>
      </c>
      <c r="C35" s="42">
        <f t="shared" si="0"/>
        <v>56</v>
      </c>
      <c r="D35" s="43" t="s">
        <v>109</v>
      </c>
      <c r="E35" s="25"/>
      <c r="F35" s="25"/>
    </row>
    <row r="36" spans="1:6" ht="50.15" customHeight="1" x14ac:dyDescent="0.35">
      <c r="A36" s="40">
        <v>45961</v>
      </c>
      <c r="B36" s="41">
        <v>2</v>
      </c>
      <c r="C36" s="42">
        <f t="shared" si="0"/>
        <v>58</v>
      </c>
      <c r="D36" s="43" t="s">
        <v>110</v>
      </c>
      <c r="E36" s="25"/>
      <c r="F36" s="25"/>
    </row>
    <row r="37" spans="1:6" ht="50.15" customHeight="1" x14ac:dyDescent="0.35">
      <c r="A37" s="40">
        <v>45967</v>
      </c>
      <c r="B37" s="41">
        <v>2</v>
      </c>
      <c r="C37" s="42">
        <f t="shared" si="0"/>
        <v>60</v>
      </c>
      <c r="D37" s="43" t="s">
        <v>111</v>
      </c>
      <c r="E37" s="25"/>
      <c r="F37" s="25"/>
    </row>
    <row r="38" spans="1:6" ht="50.15" customHeight="1" x14ac:dyDescent="0.35">
      <c r="A38" s="40">
        <v>45968</v>
      </c>
      <c r="B38" s="41">
        <v>2</v>
      </c>
      <c r="C38" s="42">
        <f t="shared" si="0"/>
        <v>62</v>
      </c>
      <c r="D38" s="43" t="s">
        <v>112</v>
      </c>
      <c r="E38" s="25"/>
      <c r="F38" s="25"/>
    </row>
    <row r="39" spans="1:6" ht="50.15" customHeight="1" x14ac:dyDescent="0.35">
      <c r="A39" s="40">
        <v>45974</v>
      </c>
      <c r="B39" s="41">
        <v>2</v>
      </c>
      <c r="C39" s="42">
        <f t="shared" si="0"/>
        <v>64</v>
      </c>
      <c r="D39" s="43" t="s">
        <v>113</v>
      </c>
      <c r="E39" s="25"/>
      <c r="F39" s="25"/>
    </row>
    <row r="40" spans="1:6" ht="50.15" customHeight="1" x14ac:dyDescent="0.35">
      <c r="A40" s="40">
        <v>45975</v>
      </c>
      <c r="B40" s="41">
        <v>2</v>
      </c>
      <c r="C40" s="42">
        <f t="shared" si="0"/>
        <v>66</v>
      </c>
      <c r="D40" s="43" t="s">
        <v>114</v>
      </c>
      <c r="E40" s="25"/>
      <c r="F40" s="25"/>
    </row>
    <row r="41" spans="1:6" ht="50.15" customHeight="1" x14ac:dyDescent="0.35">
      <c r="A41" s="40">
        <v>45982</v>
      </c>
      <c r="B41" s="41">
        <v>2</v>
      </c>
      <c r="C41" s="42">
        <f t="shared" si="0"/>
        <v>68</v>
      </c>
      <c r="D41" s="43" t="s">
        <v>115</v>
      </c>
      <c r="E41" s="25"/>
      <c r="F41" s="25"/>
    </row>
    <row r="42" spans="1:6" ht="50.15" customHeight="1" x14ac:dyDescent="0.35">
      <c r="A42" s="40">
        <v>45988</v>
      </c>
      <c r="B42" s="41">
        <v>2</v>
      </c>
      <c r="C42" s="42">
        <f t="shared" si="0"/>
        <v>70</v>
      </c>
      <c r="D42" s="43" t="s">
        <v>116</v>
      </c>
      <c r="E42" s="25"/>
      <c r="F42" s="25"/>
    </row>
    <row r="43" spans="1:6" ht="50.15" customHeight="1" x14ac:dyDescent="0.35">
      <c r="A43" s="40">
        <v>45989</v>
      </c>
      <c r="B43" s="41">
        <v>2</v>
      </c>
      <c r="C43" s="42">
        <f t="shared" si="0"/>
        <v>72</v>
      </c>
      <c r="D43" s="43" t="s">
        <v>117</v>
      </c>
      <c r="E43" s="25"/>
      <c r="F43" s="25"/>
    </row>
    <row r="44" spans="1:6" ht="50.15" customHeight="1" x14ac:dyDescent="0.35">
      <c r="A44" s="40">
        <v>45995</v>
      </c>
      <c r="B44" s="41">
        <v>2</v>
      </c>
      <c r="C44" s="42">
        <f t="shared" si="0"/>
        <v>74</v>
      </c>
      <c r="D44" s="43" t="s">
        <v>118</v>
      </c>
      <c r="E44" s="25"/>
      <c r="F44" s="25"/>
    </row>
    <row r="45" spans="1:6" ht="50.15" customHeight="1" x14ac:dyDescent="0.35">
      <c r="A45" s="40">
        <v>45996</v>
      </c>
      <c r="B45" s="41">
        <v>2</v>
      </c>
      <c r="C45" s="42">
        <f t="shared" si="0"/>
        <v>76</v>
      </c>
      <c r="D45" s="43" t="s">
        <v>119</v>
      </c>
      <c r="E45" s="25"/>
      <c r="F45" s="25"/>
    </row>
    <row r="46" spans="1:6" ht="50.15" customHeight="1" x14ac:dyDescent="0.35">
      <c r="A46" s="40">
        <v>46002</v>
      </c>
      <c r="B46" s="41">
        <v>2</v>
      </c>
      <c r="C46" s="42">
        <f t="shared" si="0"/>
        <v>78</v>
      </c>
      <c r="D46" s="43" t="s">
        <v>120</v>
      </c>
      <c r="E46" s="25"/>
      <c r="F46" s="25"/>
    </row>
    <row r="47" spans="1:6" ht="50.15" customHeight="1" x14ac:dyDescent="0.35">
      <c r="A47" s="40">
        <v>46003</v>
      </c>
      <c r="B47" s="41">
        <v>2</v>
      </c>
      <c r="C47" s="42">
        <f t="shared" si="0"/>
        <v>80</v>
      </c>
      <c r="D47" s="43" t="s">
        <v>121</v>
      </c>
      <c r="E47" s="25"/>
      <c r="F47" s="25"/>
    </row>
    <row r="48" spans="1:6" ht="50.15" customHeight="1" x14ac:dyDescent="0.35">
      <c r="A48" s="40"/>
      <c r="B48" s="41"/>
      <c r="C48" s="42" t="str">
        <f t="shared" ref="C48:C73" si="1">IF(ISBLANK(B48),"",B48+C47)</f>
        <v/>
      </c>
      <c r="D48" s="43"/>
      <c r="E48" s="25"/>
      <c r="F48" s="25"/>
    </row>
    <row r="49" spans="1:6" ht="50.15" customHeight="1" x14ac:dyDescent="0.35">
      <c r="A49" s="40"/>
      <c r="B49" s="41"/>
      <c r="C49" s="42" t="str">
        <f t="shared" si="1"/>
        <v/>
      </c>
      <c r="D49" s="43"/>
      <c r="E49" s="25"/>
      <c r="F49" s="25"/>
    </row>
    <row r="50" spans="1:6" ht="50.15" customHeight="1" x14ac:dyDescent="0.35">
      <c r="A50" s="40"/>
      <c r="B50" s="41"/>
      <c r="C50" s="42" t="str">
        <f t="shared" si="1"/>
        <v/>
      </c>
      <c r="D50" s="43"/>
      <c r="E50" s="25"/>
      <c r="F50" s="25"/>
    </row>
    <row r="51" spans="1:6" ht="50.15" customHeight="1" x14ac:dyDescent="0.35">
      <c r="A51" s="40"/>
      <c r="B51" s="41"/>
      <c r="C51" s="42" t="str">
        <f t="shared" si="1"/>
        <v/>
      </c>
      <c r="D51" s="43"/>
      <c r="E51" s="25"/>
      <c r="F51" s="25"/>
    </row>
    <row r="52" spans="1:6" ht="50.15" customHeight="1" x14ac:dyDescent="0.35">
      <c r="A52" s="40"/>
      <c r="B52" s="41"/>
      <c r="C52" s="42" t="str">
        <f t="shared" si="1"/>
        <v/>
      </c>
      <c r="D52" s="43"/>
      <c r="E52" s="25"/>
      <c r="F52" s="25"/>
    </row>
    <row r="53" spans="1:6" ht="50.15" customHeight="1" x14ac:dyDescent="0.35">
      <c r="A53" s="40"/>
      <c r="B53" s="41"/>
      <c r="C53" s="42" t="str">
        <f t="shared" si="1"/>
        <v/>
      </c>
      <c r="D53" s="43"/>
      <c r="E53" s="25"/>
      <c r="F53" s="25"/>
    </row>
    <row r="54" spans="1:6" ht="50.15" customHeight="1" x14ac:dyDescent="0.35">
      <c r="A54" s="40"/>
      <c r="B54" s="41"/>
      <c r="C54" s="42" t="str">
        <f t="shared" si="1"/>
        <v/>
      </c>
      <c r="D54" s="43"/>
      <c r="E54" s="25"/>
      <c r="F54" s="25"/>
    </row>
    <row r="55" spans="1:6" ht="50.15" customHeight="1" x14ac:dyDescent="0.35">
      <c r="A55" s="40"/>
      <c r="B55" s="41"/>
      <c r="C55" s="42" t="str">
        <f t="shared" si="1"/>
        <v/>
      </c>
      <c r="D55" s="43"/>
      <c r="E55" s="25"/>
      <c r="F55" s="25"/>
    </row>
    <row r="56" spans="1:6" ht="50.15" customHeight="1" x14ac:dyDescent="0.35">
      <c r="A56" s="40"/>
      <c r="B56" s="41"/>
      <c r="C56" s="42" t="str">
        <f t="shared" si="1"/>
        <v/>
      </c>
      <c r="D56" s="43"/>
      <c r="E56" s="25"/>
      <c r="F56" s="25"/>
    </row>
    <row r="57" spans="1:6" ht="50.15" customHeight="1" x14ac:dyDescent="0.35">
      <c r="A57" s="40"/>
      <c r="B57" s="41"/>
      <c r="C57" s="42" t="str">
        <f t="shared" si="1"/>
        <v/>
      </c>
      <c r="D57" s="43"/>
      <c r="E57" s="25"/>
      <c r="F57" s="25"/>
    </row>
    <row r="58" spans="1:6" ht="50.15" customHeight="1" x14ac:dyDescent="0.35">
      <c r="A58" s="40"/>
      <c r="B58" s="41"/>
      <c r="C58" s="42" t="str">
        <f t="shared" si="1"/>
        <v/>
      </c>
      <c r="D58" s="43"/>
      <c r="E58" s="25"/>
      <c r="F58" s="25"/>
    </row>
    <row r="59" spans="1:6" ht="50.15" customHeight="1" x14ac:dyDescent="0.35">
      <c r="A59" s="40"/>
      <c r="B59" s="41"/>
      <c r="C59" s="42" t="str">
        <f t="shared" si="1"/>
        <v/>
      </c>
      <c r="D59" s="43"/>
      <c r="E59" s="25"/>
      <c r="F59" s="25"/>
    </row>
    <row r="60" spans="1:6" ht="50.15" customHeight="1" x14ac:dyDescent="0.35">
      <c r="A60" s="40"/>
      <c r="B60" s="41"/>
      <c r="C60" s="42" t="str">
        <f t="shared" si="1"/>
        <v/>
      </c>
      <c r="D60" s="43"/>
      <c r="E60" s="25"/>
      <c r="F60" s="25"/>
    </row>
    <row r="61" spans="1:6" ht="50.15" customHeight="1" x14ac:dyDescent="0.35">
      <c r="A61" s="40"/>
      <c r="B61" s="41"/>
      <c r="C61" s="42" t="str">
        <f t="shared" si="1"/>
        <v/>
      </c>
      <c r="D61" s="43"/>
      <c r="E61" s="25"/>
      <c r="F61" s="25"/>
    </row>
    <row r="62" spans="1:6" ht="50.15" customHeight="1" x14ac:dyDescent="0.35">
      <c r="A62" s="40"/>
      <c r="B62" s="41"/>
      <c r="C62" s="42" t="str">
        <f t="shared" si="1"/>
        <v/>
      </c>
      <c r="D62" s="43"/>
      <c r="E62" s="25"/>
      <c r="F62" s="25"/>
    </row>
    <row r="63" spans="1:6" ht="50.15" customHeight="1" x14ac:dyDescent="0.35">
      <c r="A63" s="40"/>
      <c r="B63" s="41"/>
      <c r="C63" s="42" t="str">
        <f t="shared" si="1"/>
        <v/>
      </c>
      <c r="D63" s="43"/>
      <c r="E63" s="25"/>
      <c r="F63" s="25"/>
    </row>
    <row r="64" spans="1:6" ht="50.15" customHeight="1" x14ac:dyDescent="0.35">
      <c r="A64" s="40"/>
      <c r="B64" s="41"/>
      <c r="C64" s="42" t="str">
        <f t="shared" si="1"/>
        <v/>
      </c>
      <c r="D64" s="43"/>
      <c r="E64" s="25"/>
      <c r="F64" s="25"/>
    </row>
    <row r="65" spans="1:6" ht="50.15" customHeight="1" x14ac:dyDescent="0.35">
      <c r="A65" s="40"/>
      <c r="B65" s="41"/>
      <c r="C65" s="42" t="str">
        <f t="shared" si="1"/>
        <v/>
      </c>
      <c r="D65" s="43"/>
      <c r="E65" s="25"/>
      <c r="F65" s="25"/>
    </row>
    <row r="66" spans="1:6" ht="50.15" customHeight="1" x14ac:dyDescent="0.35">
      <c r="A66" s="40"/>
      <c r="B66" s="41"/>
      <c r="C66" s="42" t="str">
        <f t="shared" si="1"/>
        <v/>
      </c>
      <c r="D66" s="43"/>
      <c r="E66" s="25"/>
      <c r="F66" s="25"/>
    </row>
    <row r="67" spans="1:6" ht="50.15" customHeight="1" x14ac:dyDescent="0.35">
      <c r="A67" s="40"/>
      <c r="B67" s="41"/>
      <c r="C67" s="42" t="str">
        <f t="shared" si="1"/>
        <v/>
      </c>
      <c r="D67" s="43"/>
      <c r="E67" s="25"/>
      <c r="F67" s="25"/>
    </row>
    <row r="68" spans="1:6" ht="50.15" customHeight="1" x14ac:dyDescent="0.35">
      <c r="A68" s="40"/>
      <c r="B68" s="41"/>
      <c r="C68" s="42" t="str">
        <f t="shared" si="1"/>
        <v/>
      </c>
      <c r="D68" s="43"/>
      <c r="E68" s="25"/>
      <c r="F68" s="25"/>
    </row>
    <row r="69" spans="1:6" ht="50.15" customHeight="1" x14ac:dyDescent="0.35">
      <c r="A69" s="40"/>
      <c r="B69" s="41"/>
      <c r="C69" s="42" t="str">
        <f t="shared" si="1"/>
        <v/>
      </c>
      <c r="D69" s="43"/>
      <c r="E69" s="25"/>
      <c r="F69" s="25"/>
    </row>
    <row r="70" spans="1:6" ht="50.15" customHeight="1" x14ac:dyDescent="0.35">
      <c r="A70" s="40"/>
      <c r="B70" s="41"/>
      <c r="C70" s="42" t="str">
        <f t="shared" si="1"/>
        <v/>
      </c>
      <c r="D70" s="43"/>
      <c r="E70" s="25"/>
      <c r="F70" s="25"/>
    </row>
    <row r="71" spans="1:6" ht="50.15" customHeight="1" x14ac:dyDescent="0.35">
      <c r="A71" s="40"/>
      <c r="B71" s="41"/>
      <c r="C71" s="42" t="str">
        <f t="shared" si="1"/>
        <v/>
      </c>
      <c r="D71" s="43"/>
      <c r="E71" s="25"/>
      <c r="F71" s="25"/>
    </row>
    <row r="72" spans="1:6" ht="50.15" customHeight="1" x14ac:dyDescent="0.35">
      <c r="A72" s="40"/>
      <c r="B72" s="41"/>
      <c r="C72" s="42" t="str">
        <f t="shared" si="1"/>
        <v/>
      </c>
      <c r="D72" s="43"/>
      <c r="E72" s="25"/>
      <c r="F72" s="25"/>
    </row>
    <row r="73" spans="1:6" ht="50.15" customHeight="1" x14ac:dyDescent="0.35">
      <c r="A73" s="40"/>
      <c r="B73" s="41"/>
      <c r="C73" s="42" t="str">
        <f t="shared" si="1"/>
        <v/>
      </c>
      <c r="D73" s="43"/>
      <c r="E73" s="25"/>
      <c r="F73" s="25"/>
    </row>
    <row r="74" spans="1:6" ht="50.15" customHeight="1" x14ac:dyDescent="0.35">
      <c r="A74" s="40"/>
      <c r="B74" s="41"/>
      <c r="C74" s="42" t="str">
        <f t="shared" ref="C74:C99" si="2">IF(ISBLANK(B74),"",B74+C73)</f>
        <v/>
      </c>
      <c r="D74" s="43"/>
      <c r="E74" s="25"/>
      <c r="F74" s="25"/>
    </row>
    <row r="75" spans="1:6" ht="50.15" customHeight="1" x14ac:dyDescent="0.35">
      <c r="A75" s="40"/>
      <c r="B75" s="41"/>
      <c r="C75" s="42" t="str">
        <f t="shared" si="2"/>
        <v/>
      </c>
      <c r="D75" s="43"/>
      <c r="E75" s="25"/>
      <c r="F75" s="25"/>
    </row>
    <row r="76" spans="1:6" ht="50.15" customHeight="1" x14ac:dyDescent="0.35">
      <c r="A76" s="40"/>
      <c r="B76" s="41"/>
      <c r="C76" s="42" t="str">
        <f t="shared" si="2"/>
        <v/>
      </c>
      <c r="D76" s="43"/>
      <c r="E76" s="25"/>
      <c r="F76" s="25"/>
    </row>
    <row r="77" spans="1:6" ht="50.15" customHeight="1" x14ac:dyDescent="0.35">
      <c r="A77" s="40"/>
      <c r="B77" s="41"/>
      <c r="C77" s="42" t="str">
        <f t="shared" si="2"/>
        <v/>
      </c>
      <c r="D77" s="43"/>
      <c r="E77" s="25"/>
      <c r="F77" s="25"/>
    </row>
    <row r="78" spans="1:6" ht="50.15" customHeight="1" x14ac:dyDescent="0.35">
      <c r="A78" s="40"/>
      <c r="B78" s="41"/>
      <c r="C78" s="42" t="str">
        <f t="shared" si="2"/>
        <v/>
      </c>
      <c r="D78" s="43"/>
      <c r="E78" s="25"/>
      <c r="F78" s="25"/>
    </row>
    <row r="79" spans="1:6" ht="50.15" customHeight="1" x14ac:dyDescent="0.35">
      <c r="A79" s="40"/>
      <c r="B79" s="41"/>
      <c r="C79" s="42" t="str">
        <f t="shared" si="2"/>
        <v/>
      </c>
      <c r="D79" s="43"/>
      <c r="E79" s="25"/>
      <c r="F79" s="25"/>
    </row>
    <row r="80" spans="1:6" ht="50.15" customHeight="1" x14ac:dyDescent="0.35">
      <c r="A80" s="40"/>
      <c r="B80" s="41"/>
      <c r="C80" s="42" t="str">
        <f t="shared" si="2"/>
        <v/>
      </c>
      <c r="D80" s="43"/>
      <c r="E80" s="25"/>
      <c r="F80" s="25"/>
    </row>
    <row r="81" spans="1:6" ht="50.15" customHeight="1" x14ac:dyDescent="0.35">
      <c r="A81" s="40"/>
      <c r="B81" s="41"/>
      <c r="C81" s="42" t="str">
        <f t="shared" si="2"/>
        <v/>
      </c>
      <c r="D81" s="43"/>
      <c r="E81" s="25"/>
      <c r="F81" s="25"/>
    </row>
    <row r="82" spans="1:6" ht="50.15" customHeight="1" x14ac:dyDescent="0.35">
      <c r="A82" s="40"/>
      <c r="B82" s="41"/>
      <c r="C82" s="42" t="str">
        <f t="shared" si="2"/>
        <v/>
      </c>
      <c r="D82" s="43"/>
      <c r="E82" s="25"/>
      <c r="F82" s="25"/>
    </row>
    <row r="83" spans="1:6" ht="50.15" customHeight="1" x14ac:dyDescent="0.35">
      <c r="A83" s="40"/>
      <c r="B83" s="41"/>
      <c r="C83" s="42" t="str">
        <f t="shared" si="2"/>
        <v/>
      </c>
      <c r="D83" s="43"/>
      <c r="E83" s="25"/>
      <c r="F83" s="25"/>
    </row>
    <row r="84" spans="1:6" ht="50.15" customHeight="1" x14ac:dyDescent="0.35">
      <c r="A84" s="40"/>
      <c r="B84" s="41"/>
      <c r="C84" s="42" t="str">
        <f t="shared" si="2"/>
        <v/>
      </c>
      <c r="D84" s="43"/>
      <c r="E84" s="25"/>
      <c r="F84" s="25"/>
    </row>
    <row r="85" spans="1:6" ht="50.15" customHeight="1" x14ac:dyDescent="0.35">
      <c r="A85" s="40"/>
      <c r="B85" s="41"/>
      <c r="C85" s="42" t="str">
        <f t="shared" si="2"/>
        <v/>
      </c>
      <c r="D85" s="43"/>
      <c r="E85" s="25"/>
      <c r="F85" s="25"/>
    </row>
    <row r="86" spans="1:6" ht="50.15" customHeight="1" x14ac:dyDescent="0.35">
      <c r="A86" s="40"/>
      <c r="B86" s="41"/>
      <c r="C86" s="42" t="str">
        <f t="shared" si="2"/>
        <v/>
      </c>
      <c r="D86" s="43"/>
      <c r="E86" s="25"/>
      <c r="F86" s="25"/>
    </row>
    <row r="87" spans="1:6" ht="50.15" customHeight="1" x14ac:dyDescent="0.35">
      <c r="A87" s="40"/>
      <c r="B87" s="41"/>
      <c r="C87" s="42" t="str">
        <f t="shared" si="2"/>
        <v/>
      </c>
      <c r="D87" s="43"/>
      <c r="E87" s="25"/>
      <c r="F87" s="25"/>
    </row>
    <row r="88" spans="1:6" ht="50.15" customHeight="1" x14ac:dyDescent="0.35">
      <c r="A88" s="40"/>
      <c r="B88" s="41"/>
      <c r="C88" s="42" t="str">
        <f t="shared" si="2"/>
        <v/>
      </c>
      <c r="D88" s="43"/>
      <c r="E88" s="25"/>
      <c r="F88" s="25"/>
    </row>
    <row r="89" spans="1:6" ht="50.15" customHeight="1" x14ac:dyDescent="0.35">
      <c r="A89" s="40"/>
      <c r="B89" s="41"/>
      <c r="C89" s="42" t="str">
        <f t="shared" si="2"/>
        <v/>
      </c>
      <c r="D89" s="43"/>
      <c r="E89" s="25"/>
      <c r="F89" s="25"/>
    </row>
    <row r="90" spans="1:6" ht="50.15" customHeight="1" x14ac:dyDescent="0.35">
      <c r="A90" s="40"/>
      <c r="B90" s="41"/>
      <c r="C90" s="42" t="str">
        <f t="shared" si="2"/>
        <v/>
      </c>
      <c r="D90" s="43"/>
      <c r="E90" s="25"/>
      <c r="F90" s="25"/>
    </row>
    <row r="91" spans="1:6" ht="50.15" customHeight="1" x14ac:dyDescent="0.35">
      <c r="A91" s="40"/>
      <c r="B91" s="41"/>
      <c r="C91" s="42" t="str">
        <f t="shared" si="2"/>
        <v/>
      </c>
      <c r="D91" s="43"/>
      <c r="E91" s="25"/>
      <c r="F91" s="25"/>
    </row>
    <row r="92" spans="1:6" ht="50.15" customHeight="1" x14ac:dyDescent="0.35">
      <c r="A92" s="40"/>
      <c r="B92" s="41"/>
      <c r="C92" s="42" t="str">
        <f t="shared" si="2"/>
        <v/>
      </c>
      <c r="D92" s="43"/>
      <c r="E92" s="25"/>
      <c r="F92" s="25"/>
    </row>
    <row r="93" spans="1:6" ht="50.15" customHeight="1" x14ac:dyDescent="0.35">
      <c r="A93" s="40"/>
      <c r="B93" s="41"/>
      <c r="C93" s="42" t="str">
        <f t="shared" si="2"/>
        <v/>
      </c>
      <c r="D93" s="43"/>
      <c r="E93" s="25"/>
      <c r="F93" s="25"/>
    </row>
    <row r="94" spans="1:6" ht="50.15" customHeight="1" x14ac:dyDescent="0.35">
      <c r="A94" s="40"/>
      <c r="B94" s="41"/>
      <c r="C94" s="42" t="str">
        <f t="shared" si="2"/>
        <v/>
      </c>
      <c r="D94" s="43"/>
      <c r="E94" s="25"/>
      <c r="F94" s="25"/>
    </row>
    <row r="95" spans="1:6" ht="50.15" customHeight="1" x14ac:dyDescent="0.35">
      <c r="A95" s="40"/>
      <c r="B95" s="41"/>
      <c r="C95" s="42" t="str">
        <f t="shared" si="2"/>
        <v/>
      </c>
      <c r="D95" s="43"/>
      <c r="E95" s="25"/>
      <c r="F95" s="25"/>
    </row>
    <row r="96" spans="1:6" ht="50.15" customHeight="1" x14ac:dyDescent="0.35">
      <c r="A96" s="40"/>
      <c r="B96" s="41"/>
      <c r="C96" s="42" t="str">
        <f t="shared" si="2"/>
        <v/>
      </c>
      <c r="D96" s="43"/>
      <c r="E96" s="25"/>
      <c r="F96" s="25"/>
    </row>
    <row r="97" spans="1:6" ht="50.15" customHeight="1" x14ac:dyDescent="0.35">
      <c r="A97" s="40"/>
      <c r="B97" s="41"/>
      <c r="C97" s="42" t="str">
        <f t="shared" si="2"/>
        <v/>
      </c>
      <c r="D97" s="43"/>
      <c r="E97" s="25"/>
      <c r="F97" s="25"/>
    </row>
    <row r="98" spans="1:6" ht="50.15" customHeight="1" x14ac:dyDescent="0.35">
      <c r="A98" s="40"/>
      <c r="B98" s="41"/>
      <c r="C98" s="42" t="str">
        <f t="shared" si="2"/>
        <v/>
      </c>
      <c r="D98" s="43"/>
      <c r="E98" s="25"/>
      <c r="F98" s="25"/>
    </row>
    <row r="99" spans="1:6" ht="50.15" customHeight="1" x14ac:dyDescent="0.35">
      <c r="A99" s="40"/>
      <c r="B99" s="41"/>
      <c r="C99" s="42" t="str">
        <f t="shared" si="2"/>
        <v/>
      </c>
      <c r="D99" s="43"/>
      <c r="E99" s="25"/>
      <c r="F99" s="25"/>
    </row>
  </sheetData>
  <dataConsolidate/>
  <mergeCells count="1">
    <mergeCell ref="A6:D6"/>
  </mergeCells>
  <phoneticPr fontId="0" type="noConversion"/>
  <hyperlinks>
    <hyperlink ref="A6" r:id="rId1" display="Portal Universitário"/>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4</vt:i4>
      </vt:variant>
    </vt:vector>
  </HeadingPairs>
  <TitlesOfParts>
    <vt:vector size="7" baseType="lpstr">
      <vt:lpstr>M08</vt:lpstr>
      <vt:lpstr>Frequencia</vt:lpstr>
      <vt:lpstr>Aula</vt:lpstr>
      <vt:lpstr>AnoSem</vt:lpstr>
      <vt:lpstr>Curso</vt:lpstr>
      <vt:lpstr>NomeProf</vt:lpstr>
      <vt:lpstr>SiglaDis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Renan Sthel Duque</dc:creator>
  <cp:lastModifiedBy>Renan Sthel Duque</cp:lastModifiedBy>
  <dcterms:created xsi:type="dcterms:W3CDTF">2009-10-27T03:06:39Z</dcterms:created>
  <dcterms:modified xsi:type="dcterms:W3CDTF">2025-10-03T19:44:51Z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Name">
    <vt:lpwstr>*</vt:lpwstr>
  </property>
  <property fmtid="{D5CDD505-2E9C-101B-9397-08002B2CF9AE}" pid="3" name="_AssemblyLocation">
    <vt:lpwstr>{404b729c-e202-46b6-9e45-7f9f981cf9d1}</vt:lpwstr>
  </property>
  <property fmtid="{D5CDD505-2E9C-101B-9397-08002B2CF9AE}" pid="4" name="Class_ParamApp">
    <vt:lpwstr>7954907;44:?&lt;595?;?;?&lt;?6?87?6469?6?4?4?virer2hyuyi?4?5?5</vt:lpwstr>
  </property>
</Properties>
</file>