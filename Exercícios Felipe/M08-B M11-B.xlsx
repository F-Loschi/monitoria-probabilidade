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defaultThemeVersion="124226"/>
  <mc:AlternateContent xmlns:mc="http://schemas.openxmlformats.org/markup-compatibility/2006">
    <mc:Choice Requires="x15">
      <x15ac:absPath xmlns:x15ac="http://schemas.microsoft.com/office/spreadsheetml/2010/11/ac" url="C:\C Planilhas\"/>
    </mc:Choice>
  </mc:AlternateContent>
  <bookViews>
    <workbookView xWindow="0" yWindow="0" windowWidth="14380" windowHeight="4100" activeTab="1"/>
  </bookViews>
  <sheets>
    <sheet name="M08" sheetId="1" r:id="rId1"/>
    <sheet name="Frequencia" sheetId="2" r:id="rId2"/>
    <sheet name="Aula" sheetId="3" r:id="rId3"/>
  </sheets>
  <definedNames>
    <definedName name="AnoSem">'M08'!$A$5</definedName>
    <definedName name="Curso">'M08'!$A$6</definedName>
    <definedName name="NomeProf">'M08'!$A$4</definedName>
    <definedName name="SiglaDis">'M08'!$A$3</definedName>
  </definedNames>
  <calcPr calcId="162913"/>
</workbook>
</file>

<file path=xl/calcChain.xml><?xml version="1.0" encoding="utf-8"?>
<calcChain xmlns="http://schemas.openxmlformats.org/spreadsheetml/2006/main">
  <c r="J60" i="1" l="1"/>
  <c r="J61" i="1"/>
  <c r="J62" i="1"/>
  <c r="J64" i="1"/>
  <c r="J65" i="1"/>
  <c r="H65" i="1"/>
  <c r="H64" i="1"/>
  <c r="H62" i="1"/>
  <c r="H61" i="1"/>
  <c r="H60" i="1"/>
  <c r="V11" i="1"/>
  <c r="V10" i="1"/>
  <c r="M9" i="1"/>
  <c r="N9" i="1"/>
  <c r="O9" i="1"/>
  <c r="R9" i="1"/>
  <c r="M10" i="1"/>
  <c r="O10" i="1" s="1"/>
  <c r="R10" i="1" s="1"/>
  <c r="N10" i="1"/>
  <c r="M11" i="1"/>
  <c r="N11" i="1"/>
  <c r="O11" i="1"/>
  <c r="R11" i="1"/>
  <c r="M12" i="1"/>
  <c r="N12" i="1"/>
  <c r="O12" i="1"/>
  <c r="R12" i="1"/>
  <c r="M13" i="1"/>
  <c r="O13" i="1" s="1"/>
  <c r="R13" i="1" s="1"/>
  <c r="N13" i="1"/>
  <c r="M14" i="1"/>
  <c r="N14" i="1"/>
  <c r="O14" i="1"/>
  <c r="R14" i="1"/>
  <c r="M15" i="1"/>
  <c r="N15" i="1"/>
  <c r="O15" i="1"/>
  <c r="R15" i="1"/>
  <c r="M16" i="1"/>
  <c r="O16" i="1" s="1"/>
  <c r="R16" i="1" s="1"/>
  <c r="N16" i="1"/>
  <c r="M17" i="1"/>
  <c r="O17" i="1" s="1"/>
  <c r="R17" i="1" s="1"/>
  <c r="N17" i="1"/>
  <c r="M18" i="1"/>
  <c r="N18" i="1"/>
  <c r="O18" i="1"/>
  <c r="R18" i="1"/>
  <c r="M19" i="1"/>
  <c r="O19" i="1" s="1"/>
  <c r="R19" i="1" s="1"/>
  <c r="N19" i="1"/>
  <c r="M20" i="1"/>
  <c r="O20" i="1" s="1"/>
  <c r="N20" i="1"/>
  <c r="M21" i="1"/>
  <c r="O21" i="1" s="1"/>
  <c r="R21" i="1" s="1"/>
  <c r="N21" i="1"/>
  <c r="M22" i="1"/>
  <c r="O22" i="1" s="1"/>
  <c r="R22" i="1" s="1"/>
  <c r="N22" i="1"/>
  <c r="M23" i="1"/>
  <c r="N23" i="1"/>
  <c r="O23" i="1"/>
  <c r="R23" i="1"/>
  <c r="M24" i="1"/>
  <c r="O24" i="1" s="1"/>
  <c r="R24" i="1" s="1"/>
  <c r="N24" i="1"/>
  <c r="M25" i="1"/>
  <c r="O25" i="1" s="1"/>
  <c r="R25" i="1" s="1"/>
  <c r="N25" i="1"/>
  <c r="M26" i="1"/>
  <c r="O26" i="1" s="1"/>
  <c r="R26" i="1" s="1"/>
  <c r="N26" i="1"/>
  <c r="M27" i="1"/>
  <c r="N27" i="1"/>
  <c r="O27" i="1"/>
  <c r="R27" i="1"/>
  <c r="M28" i="1"/>
  <c r="O28" i="1" s="1"/>
  <c r="R28" i="1" s="1"/>
  <c r="N28" i="1"/>
  <c r="M29" i="1"/>
  <c r="O29" i="1" s="1"/>
  <c r="R29" i="1" s="1"/>
  <c r="N29" i="1"/>
  <c r="M30" i="1"/>
  <c r="N30" i="1"/>
  <c r="O30" i="1"/>
  <c r="R30" i="1"/>
  <c r="M31" i="1"/>
  <c r="O31" i="1" s="1"/>
  <c r="R31" i="1" s="1"/>
  <c r="N31" i="1"/>
  <c r="M32" i="1"/>
  <c r="O32" i="1" s="1"/>
  <c r="R32" i="1" s="1"/>
  <c r="N32" i="1"/>
  <c r="M33" i="1"/>
  <c r="N33" i="1"/>
  <c r="O33" i="1"/>
  <c r="R33" i="1"/>
  <c r="M34" i="1"/>
  <c r="O34" i="1" s="1"/>
  <c r="R34" i="1" s="1"/>
  <c r="N34" i="1"/>
  <c r="M35" i="1"/>
  <c r="N35" i="1"/>
  <c r="O35" i="1"/>
  <c r="R35" i="1"/>
  <c r="M36" i="1"/>
  <c r="O36" i="1" s="1"/>
  <c r="R36" i="1" s="1"/>
  <c r="N36" i="1"/>
  <c r="M37" i="1"/>
  <c r="O37" i="1" s="1"/>
  <c r="R37" i="1" s="1"/>
  <c r="N37" i="1"/>
  <c r="M38" i="1"/>
  <c r="N38" i="1"/>
  <c r="O38" i="1"/>
  <c r="R38" i="1"/>
  <c r="M39" i="1"/>
  <c r="N39" i="1"/>
  <c r="O39" i="1"/>
  <c r="R39" i="1"/>
  <c r="M40" i="1"/>
  <c r="O40" i="1" s="1"/>
  <c r="R40" i="1" s="1"/>
  <c r="N40" i="1"/>
  <c r="M41" i="1"/>
  <c r="N41" i="1"/>
  <c r="O41" i="1"/>
  <c r="R41" i="1"/>
  <c r="M42" i="1"/>
  <c r="N42" i="1"/>
  <c r="O42" i="1"/>
  <c r="R42" i="1"/>
  <c r="M43" i="1"/>
  <c r="O43" i="1" s="1"/>
  <c r="R43" i="1" s="1"/>
  <c r="N43" i="1"/>
  <c r="M44" i="1"/>
  <c r="O44" i="1" s="1"/>
  <c r="R44" i="1" s="1"/>
  <c r="N44" i="1"/>
  <c r="M45" i="1"/>
  <c r="N45" i="1"/>
  <c r="O45" i="1"/>
  <c r="R45" i="1"/>
  <c r="M46" i="1"/>
  <c r="O46" i="1" s="1"/>
  <c r="R46" i="1" s="1"/>
  <c r="N46" i="1"/>
  <c r="M47" i="1"/>
  <c r="O47" i="1" s="1"/>
  <c r="R47" i="1" s="1"/>
  <c r="N47" i="1"/>
  <c r="M48" i="1"/>
  <c r="N48" i="1"/>
  <c r="O48" i="1"/>
  <c r="R48" i="1"/>
  <c r="M49" i="1"/>
  <c r="O49" i="1" s="1"/>
  <c r="R49" i="1" s="1"/>
  <c r="N49" i="1"/>
  <c r="M50" i="1"/>
  <c r="N50" i="1"/>
  <c r="O50" i="1"/>
  <c r="R50" i="1"/>
  <c r="M51" i="1"/>
  <c r="N51" i="1"/>
  <c r="O51" i="1"/>
  <c r="R51" i="1"/>
  <c r="M52" i="1"/>
  <c r="O52" i="1" s="1"/>
  <c r="R52" i="1" s="1"/>
  <c r="N52" i="1"/>
  <c r="M53" i="1"/>
  <c r="N53" i="1"/>
  <c r="O53" i="1"/>
  <c r="R53" i="1"/>
  <c r="M54" i="1"/>
  <c r="N54" i="1"/>
  <c r="O54" i="1"/>
  <c r="R54" i="1"/>
  <c r="M55" i="1"/>
  <c r="O55" i="1" s="1"/>
  <c r="R55" i="1" s="1"/>
  <c r="N55" i="1"/>
  <c r="M56" i="1"/>
  <c r="O56" i="1" s="1"/>
  <c r="R56" i="1" s="1"/>
  <c r="N56" i="1"/>
  <c r="M57" i="1"/>
  <c r="N57" i="1"/>
  <c r="O57" i="1"/>
  <c r="R57" i="1"/>
  <c r="N8" i="1"/>
  <c r="M8" i="1"/>
  <c r="J63" i="1" l="1"/>
  <c r="R20" i="1"/>
  <c r="V14" i="1" s="1"/>
  <c r="V15" i="1" s="1"/>
  <c r="H63" i="1"/>
  <c r="O8" i="1"/>
  <c r="R8" i="1" s="1"/>
  <c r="C8" i="3"/>
  <c r="C9" i="3" s="1"/>
  <c r="C10" i="3" s="1"/>
  <c r="C11" i="3" s="1"/>
  <c r="C12" i="3" s="1"/>
  <c r="C13" i="3" s="1"/>
  <c r="C14" i="3" s="1"/>
  <c r="C15" i="3" s="1"/>
  <c r="C16" i="3" s="1"/>
  <c r="C17" i="3" s="1"/>
  <c r="C18" i="3" s="1"/>
  <c r="C19" i="3" s="1"/>
  <c r="C20" i="3" s="1"/>
  <c r="C21" i="3" s="1"/>
  <c r="C22" i="3" s="1"/>
  <c r="C23" i="3" s="1"/>
  <c r="C24" i="3" s="1"/>
  <c r="C25" i="3" s="1"/>
  <c r="C26" i="3" s="1"/>
  <c r="C27" i="3" s="1"/>
  <c r="C28" i="3" s="1"/>
  <c r="C29" i="3" s="1"/>
  <c r="C30" i="3" s="1"/>
  <c r="C31" i="3" s="1"/>
  <c r="C32" i="3" s="1"/>
  <c r="C33" i="3" s="1"/>
  <c r="C34" i="3" s="1"/>
  <c r="C35" i="3" s="1"/>
  <c r="C36" i="3" s="1"/>
  <c r="C37" i="3" s="1"/>
  <c r="C38" i="3" s="1"/>
  <c r="C39" i="3" s="1"/>
  <c r="C40" i="3" s="1"/>
  <c r="C41" i="3" s="1"/>
  <c r="C42" i="3" s="1"/>
  <c r="C43" i="3" s="1"/>
  <c r="C44" i="3" s="1"/>
  <c r="C45" i="3" s="1"/>
  <c r="C46" i="3" s="1"/>
  <c r="C47" i="3" s="1"/>
  <c r="V8" i="1" l="1"/>
  <c r="V9" i="1" s="1"/>
  <c r="DJ23" i="2"/>
  <c r="DI23" i="2"/>
  <c r="DF23" i="2"/>
  <c r="CO23" i="2"/>
  <c r="BX23" i="2"/>
  <c r="BG23" i="2"/>
  <c r="AP23" i="2"/>
  <c r="Y23" i="2"/>
  <c r="DJ55" i="2"/>
  <c r="DI55" i="2"/>
  <c r="DF55" i="2"/>
  <c r="CO55" i="2"/>
  <c r="BX55" i="2"/>
  <c r="BG55" i="2"/>
  <c r="AP55" i="2"/>
  <c r="Y55" i="2"/>
  <c r="DJ49" i="2"/>
  <c r="DI49" i="2"/>
  <c r="DF49" i="2"/>
  <c r="CO49" i="2"/>
  <c r="BX49" i="2"/>
  <c r="BG49" i="2"/>
  <c r="AP49" i="2"/>
  <c r="Y49" i="2"/>
  <c r="DJ46" i="2"/>
  <c r="DI46" i="2"/>
  <c r="DF46" i="2"/>
  <c r="CO46" i="2"/>
  <c r="BX46" i="2"/>
  <c r="BG46" i="2"/>
  <c r="AP46" i="2"/>
  <c r="Y46" i="2"/>
  <c r="DJ44" i="2"/>
  <c r="DI44" i="2"/>
  <c r="DF44" i="2"/>
  <c r="CO44" i="2"/>
  <c r="BX44" i="2"/>
  <c r="BG44" i="2"/>
  <c r="AP44" i="2"/>
  <c r="Y44" i="2"/>
  <c r="DJ43" i="2"/>
  <c r="DI43" i="2"/>
  <c r="DF43" i="2"/>
  <c r="CO43" i="2"/>
  <c r="BX43" i="2"/>
  <c r="BG43" i="2"/>
  <c r="AP43" i="2"/>
  <c r="Y43" i="2"/>
  <c r="DJ39" i="2"/>
  <c r="DI39" i="2"/>
  <c r="DF39" i="2"/>
  <c r="CO39" i="2"/>
  <c r="BX39" i="2"/>
  <c r="BG39" i="2"/>
  <c r="AP39" i="2"/>
  <c r="Y39" i="2"/>
  <c r="DJ36" i="2"/>
  <c r="DI36" i="2"/>
  <c r="DF36" i="2"/>
  <c r="CO36" i="2"/>
  <c r="BX36" i="2"/>
  <c r="BG36" i="2"/>
  <c r="AP36" i="2"/>
  <c r="Y36" i="2"/>
  <c r="DJ34" i="2"/>
  <c r="DI34" i="2"/>
  <c r="DF34" i="2"/>
  <c r="CO34" i="2"/>
  <c r="BX34" i="2"/>
  <c r="BG34" i="2"/>
  <c r="AP34" i="2"/>
  <c r="Y34" i="2"/>
  <c r="DJ32" i="2"/>
  <c r="DI32" i="2"/>
  <c r="DF32" i="2"/>
  <c r="CO32" i="2"/>
  <c r="BX32" i="2"/>
  <c r="BG32" i="2"/>
  <c r="AP32" i="2"/>
  <c r="Y32" i="2"/>
  <c r="DJ30" i="2"/>
  <c r="DI30" i="2"/>
  <c r="DF30" i="2"/>
  <c r="CO30" i="2"/>
  <c r="BX30" i="2"/>
  <c r="BG30" i="2"/>
  <c r="AP30" i="2"/>
  <c r="Y30" i="2"/>
  <c r="DJ54" i="2"/>
  <c r="DI54" i="2"/>
  <c r="DF54" i="2"/>
  <c r="CO54" i="2"/>
  <c r="BX54" i="2"/>
  <c r="BG54" i="2"/>
  <c r="AP54" i="2"/>
  <c r="Y54" i="2"/>
  <c r="DJ37" i="2"/>
  <c r="DI37" i="2"/>
  <c r="DF37" i="2"/>
  <c r="CO37" i="2"/>
  <c r="BX37" i="2"/>
  <c r="BG37" i="2"/>
  <c r="AP37" i="2"/>
  <c r="Y37" i="2"/>
  <c r="DJ51" i="2"/>
  <c r="DI51" i="2"/>
  <c r="DF51" i="2"/>
  <c r="CO51" i="2"/>
  <c r="BX51" i="2"/>
  <c r="BG51" i="2"/>
  <c r="AP51" i="2"/>
  <c r="Y51" i="2"/>
  <c r="DJ48" i="2"/>
  <c r="DI48" i="2"/>
  <c r="DF48" i="2"/>
  <c r="CO48" i="2"/>
  <c r="BX48" i="2"/>
  <c r="BG48" i="2"/>
  <c r="AP48" i="2"/>
  <c r="Y48" i="2"/>
  <c r="DJ45" i="2"/>
  <c r="DI45" i="2"/>
  <c r="DF45" i="2"/>
  <c r="CO45" i="2"/>
  <c r="BX45" i="2"/>
  <c r="BG45" i="2"/>
  <c r="AP45" i="2"/>
  <c r="Y45" i="2"/>
  <c r="DJ41" i="2"/>
  <c r="DI41" i="2"/>
  <c r="DF41" i="2"/>
  <c r="CO41" i="2"/>
  <c r="BX41" i="2"/>
  <c r="BG41" i="2"/>
  <c r="AP41" i="2"/>
  <c r="Y41" i="2"/>
  <c r="DJ53" i="2"/>
  <c r="DI53" i="2"/>
  <c r="DF53" i="2"/>
  <c r="CO53" i="2"/>
  <c r="BX53" i="2"/>
  <c r="BG53" i="2"/>
  <c r="AP53" i="2"/>
  <c r="Y53" i="2"/>
  <c r="DJ50" i="2"/>
  <c r="DI50" i="2"/>
  <c r="DF50" i="2"/>
  <c r="CO50" i="2"/>
  <c r="BX50" i="2"/>
  <c r="BG50" i="2"/>
  <c r="AP50" i="2"/>
  <c r="Y50" i="2"/>
  <c r="DJ42" i="2"/>
  <c r="DI42" i="2"/>
  <c r="DF42" i="2"/>
  <c r="CO42" i="2"/>
  <c r="BX42" i="2"/>
  <c r="BG42" i="2"/>
  <c r="AP42" i="2"/>
  <c r="Y42" i="2"/>
  <c r="DJ33" i="2"/>
  <c r="DI33" i="2"/>
  <c r="DF33" i="2"/>
  <c r="CO33" i="2"/>
  <c r="BX33" i="2"/>
  <c r="BG33" i="2"/>
  <c r="AP33" i="2"/>
  <c r="Y33" i="2"/>
  <c r="DJ24" i="2"/>
  <c r="DI24" i="2"/>
  <c r="DF24" i="2"/>
  <c r="CO24" i="2"/>
  <c r="BX24" i="2"/>
  <c r="BG24" i="2"/>
  <c r="AP24" i="2"/>
  <c r="Y24" i="2"/>
  <c r="DJ28" i="2"/>
  <c r="DI28" i="2"/>
  <c r="DF28" i="2"/>
  <c r="CO28" i="2"/>
  <c r="BX28" i="2"/>
  <c r="BG28" i="2"/>
  <c r="AP28" i="2"/>
  <c r="Y28" i="2"/>
  <c r="DJ14" i="2"/>
  <c r="DI14" i="2"/>
  <c r="DF14" i="2"/>
  <c r="CO14" i="2"/>
  <c r="BX14" i="2"/>
  <c r="BG14" i="2"/>
  <c r="AP14" i="2"/>
  <c r="Y14" i="2"/>
  <c r="DJ29" i="2"/>
  <c r="DI29" i="2"/>
  <c r="DF29" i="2"/>
  <c r="CO29" i="2"/>
  <c r="BX29" i="2"/>
  <c r="BG29" i="2"/>
  <c r="AP29" i="2"/>
  <c r="Y29" i="2"/>
  <c r="DJ25" i="2"/>
  <c r="DI25" i="2"/>
  <c r="DF25" i="2"/>
  <c r="CO25" i="2"/>
  <c r="BX25" i="2"/>
  <c r="BG25" i="2"/>
  <c r="AP25" i="2"/>
  <c r="Y25" i="2"/>
  <c r="DJ22" i="2"/>
  <c r="DI22" i="2"/>
  <c r="DF22" i="2"/>
  <c r="CO22" i="2"/>
  <c r="BX22" i="2"/>
  <c r="BG22" i="2"/>
  <c r="AP22" i="2"/>
  <c r="Y22" i="2"/>
  <c r="DJ20" i="2"/>
  <c r="DI20" i="2"/>
  <c r="DF20" i="2"/>
  <c r="CO20" i="2"/>
  <c r="BX20" i="2"/>
  <c r="BG20" i="2"/>
  <c r="AP20" i="2"/>
  <c r="Y20" i="2"/>
  <c r="DJ17" i="2"/>
  <c r="DI17" i="2"/>
  <c r="DF17" i="2"/>
  <c r="CO17" i="2"/>
  <c r="BX17" i="2"/>
  <c r="BG17" i="2"/>
  <c r="AP17" i="2"/>
  <c r="Y17" i="2"/>
  <c r="DJ15" i="2"/>
  <c r="DI15" i="2"/>
  <c r="DF15" i="2"/>
  <c r="CO15" i="2"/>
  <c r="BX15" i="2"/>
  <c r="BG15" i="2"/>
  <c r="AP15" i="2"/>
  <c r="Y15" i="2"/>
  <c r="DJ16" i="2"/>
  <c r="DI16" i="2"/>
  <c r="DF16" i="2"/>
  <c r="CO16" i="2"/>
  <c r="BX16" i="2"/>
  <c r="BG16" i="2"/>
  <c r="AP16" i="2"/>
  <c r="Y16" i="2"/>
  <c r="DJ52" i="2"/>
  <c r="DI52" i="2"/>
  <c r="DF52" i="2"/>
  <c r="CO52" i="2"/>
  <c r="BX52" i="2"/>
  <c r="BG52" i="2"/>
  <c r="AP52" i="2"/>
  <c r="Y52" i="2"/>
  <c r="DJ47" i="2"/>
  <c r="DI47" i="2"/>
  <c r="DF47" i="2"/>
  <c r="CO47" i="2"/>
  <c r="BX47" i="2"/>
  <c r="BG47" i="2"/>
  <c r="AP47" i="2"/>
  <c r="Y47" i="2"/>
  <c r="DJ40" i="2"/>
  <c r="DI40" i="2"/>
  <c r="DF40" i="2"/>
  <c r="CO40" i="2"/>
  <c r="BX40" i="2"/>
  <c r="BG40" i="2"/>
  <c r="AP40" i="2"/>
  <c r="Y40" i="2"/>
  <c r="DJ35" i="2"/>
  <c r="DI35" i="2"/>
  <c r="DF35" i="2"/>
  <c r="CO35" i="2"/>
  <c r="BX35" i="2"/>
  <c r="BG35" i="2"/>
  <c r="AP35" i="2"/>
  <c r="Y35" i="2"/>
  <c r="DJ38" i="2"/>
  <c r="DI38" i="2"/>
  <c r="DF38" i="2"/>
  <c r="CO38" i="2"/>
  <c r="BX38" i="2"/>
  <c r="BG38" i="2"/>
  <c r="AP38" i="2"/>
  <c r="Y38" i="2"/>
  <c r="DJ31" i="2"/>
  <c r="DI31" i="2"/>
  <c r="DF31" i="2"/>
  <c r="CO31" i="2"/>
  <c r="BX31" i="2"/>
  <c r="BG31" i="2"/>
  <c r="AP31" i="2"/>
  <c r="Y31" i="2"/>
  <c r="DJ11" i="2"/>
  <c r="DI11" i="2"/>
  <c r="DF11" i="2"/>
  <c r="CO11" i="2"/>
  <c r="BX11" i="2"/>
  <c r="BG11" i="2"/>
  <c r="AP11" i="2"/>
  <c r="Y11" i="2"/>
  <c r="DJ10" i="2"/>
  <c r="DI10" i="2"/>
  <c r="DF10" i="2"/>
  <c r="CO10" i="2"/>
  <c r="BX10" i="2"/>
  <c r="BG10" i="2"/>
  <c r="AP10" i="2"/>
  <c r="Y10" i="2"/>
  <c r="DJ8" i="2"/>
  <c r="DI8" i="2"/>
  <c r="DF8" i="2"/>
  <c r="CO8" i="2"/>
  <c r="BX8" i="2"/>
  <c r="BG8" i="2"/>
  <c r="AP8" i="2"/>
  <c r="Y8" i="2"/>
  <c r="DJ26" i="2"/>
  <c r="DI26" i="2"/>
  <c r="DF26" i="2"/>
  <c r="CO26" i="2"/>
  <c r="BX26" i="2"/>
  <c r="BG26" i="2"/>
  <c r="AP26" i="2"/>
  <c r="Y26" i="2"/>
  <c r="DJ13" i="2"/>
  <c r="DI13" i="2"/>
  <c r="DF13" i="2"/>
  <c r="CO13" i="2"/>
  <c r="BX13" i="2"/>
  <c r="BG13" i="2"/>
  <c r="AP13" i="2"/>
  <c r="Y13" i="2"/>
  <c r="DJ18" i="2"/>
  <c r="DI18" i="2"/>
  <c r="DF18" i="2"/>
  <c r="CO18" i="2"/>
  <c r="BX18" i="2"/>
  <c r="BG18" i="2"/>
  <c r="AP18" i="2"/>
  <c r="Y18" i="2"/>
  <c r="DJ12" i="2"/>
  <c r="DI12" i="2"/>
  <c r="DF12" i="2"/>
  <c r="CO12" i="2"/>
  <c r="BX12" i="2"/>
  <c r="BG12" i="2"/>
  <c r="AP12" i="2"/>
  <c r="Y12" i="2"/>
  <c r="DJ9" i="2"/>
  <c r="DI9" i="2"/>
  <c r="DF9" i="2"/>
  <c r="CO9" i="2"/>
  <c r="BX9" i="2"/>
  <c r="BG9" i="2"/>
  <c r="AP9" i="2"/>
  <c r="Y9" i="2"/>
  <c r="DJ19" i="2"/>
  <c r="DI19" i="2"/>
  <c r="DF19" i="2"/>
  <c r="CO19" i="2"/>
  <c r="BX19" i="2"/>
  <c r="BG19" i="2"/>
  <c r="AP19" i="2"/>
  <c r="Y19" i="2"/>
  <c r="DJ27" i="2"/>
  <c r="DI27" i="2"/>
  <c r="DF27" i="2"/>
  <c r="CO27" i="2"/>
  <c r="BX27" i="2"/>
  <c r="BG27" i="2"/>
  <c r="AP27" i="2"/>
  <c r="Y27" i="2"/>
  <c r="DJ21" i="2"/>
  <c r="DI21" i="2"/>
  <c r="T2" i="2"/>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Y21" i="2"/>
  <c r="AP21" i="2"/>
  <c r="BG21" i="2"/>
  <c r="BX21" i="2"/>
  <c r="CO21" i="2"/>
  <c r="DF21" i="2"/>
  <c r="DH18" i="2" l="1"/>
  <c r="DK18" i="2" s="1"/>
  <c r="DH8" i="2"/>
  <c r="DK8" i="2" s="1"/>
  <c r="DH31" i="2"/>
  <c r="DK31" i="2" s="1"/>
  <c r="DH40" i="2"/>
  <c r="DK40" i="2" s="1"/>
  <c r="DH16" i="2"/>
  <c r="DK16" i="2" s="1"/>
  <c r="DH20" i="2"/>
  <c r="DK20" i="2" s="1"/>
  <c r="DH29" i="2"/>
  <c r="DH42" i="2"/>
  <c r="DK42" i="2" s="1"/>
  <c r="DH27" i="2"/>
  <c r="DK27" i="2" s="1"/>
  <c r="DH12" i="2"/>
  <c r="DK12" i="2" s="1"/>
  <c r="DH26" i="2"/>
  <c r="DK26" i="2" s="1"/>
  <c r="DH11" i="2"/>
  <c r="DK11" i="2" s="1"/>
  <c r="DH35" i="2"/>
  <c r="DK35" i="2" s="1"/>
  <c r="DH48" i="2"/>
  <c r="DK48" i="2" s="1"/>
  <c r="DH54" i="2"/>
  <c r="DK54" i="2" s="1"/>
  <c r="DH34" i="2"/>
  <c r="DK34" i="2" s="1"/>
  <c r="DH39" i="2"/>
  <c r="DK39" i="2" s="1"/>
  <c r="DH46" i="2"/>
  <c r="DK46" i="2" s="1"/>
  <c r="DH23" i="2"/>
  <c r="DK23" i="2" s="1"/>
  <c r="DH53" i="2"/>
  <c r="DK53" i="2" s="1"/>
  <c r="DH21" i="2"/>
  <c r="DK21" i="2" s="1"/>
  <c r="DH19" i="2"/>
  <c r="DK19" i="2" s="1"/>
  <c r="DH22" i="2"/>
  <c r="DK22" i="2" s="1"/>
  <c r="DH14" i="2"/>
  <c r="DK14" i="2" s="1"/>
  <c r="DH24" i="2"/>
  <c r="DK24" i="2" s="1"/>
  <c r="DH50" i="2"/>
  <c r="DK50" i="2" s="1"/>
  <c r="DH45" i="2"/>
  <c r="DK45" i="2" s="1"/>
  <c r="DH37" i="2"/>
  <c r="DK37" i="2" s="1"/>
  <c r="DH32" i="2"/>
  <c r="DK32" i="2" s="1"/>
  <c r="DH55" i="2"/>
  <c r="DK55" i="2" s="1"/>
  <c r="DH17" i="2"/>
  <c r="DK17" i="2" s="1"/>
  <c r="DH28" i="2"/>
  <c r="DK28" i="2" s="1"/>
  <c r="DK29" i="2"/>
  <c r="DH52" i="2"/>
  <c r="DK52" i="2" s="1"/>
  <c r="DH44" i="2"/>
  <c r="DK44" i="2" s="1"/>
  <c r="DH9" i="2"/>
  <c r="DK9" i="2" s="1"/>
  <c r="DH13" i="2"/>
  <c r="DK13" i="2" s="1"/>
  <c r="DH41" i="2"/>
  <c r="DK41" i="2" s="1"/>
  <c r="DH51" i="2"/>
  <c r="DK51" i="2" s="1"/>
  <c r="DH10" i="2"/>
  <c r="DK10" i="2" s="1"/>
  <c r="DH38" i="2"/>
  <c r="DK38" i="2" s="1"/>
  <c r="DH25" i="2"/>
  <c r="DK25" i="2" s="1"/>
  <c r="DH30" i="2"/>
  <c r="DK30" i="2" s="1"/>
  <c r="DH36" i="2"/>
  <c r="DK36" i="2" s="1"/>
  <c r="DH33" i="2"/>
  <c r="DK33" i="2" s="1"/>
  <c r="DH47" i="2"/>
  <c r="DK47" i="2" s="1"/>
  <c r="DH15" i="2"/>
  <c r="DK15" i="2" s="1"/>
  <c r="DH43" i="2"/>
  <c r="DK43" i="2" s="1"/>
  <c r="DH49" i="2"/>
  <c r="DK49" i="2" s="1"/>
</calcChain>
</file>

<file path=xl/comments1.xml><?xml version="1.0" encoding="utf-8"?>
<comments xmlns="http://schemas.openxmlformats.org/spreadsheetml/2006/main">
  <authors>
    <author>Renan Sthel Duque</author>
  </authors>
  <commentList>
    <comment ref="F15" authorId="0" shapeId="0">
      <text>
        <r>
          <rPr>
            <b/>
            <sz val="9"/>
            <color indexed="81"/>
            <rFont val="Segoe UI"/>
            <family val="2"/>
          </rPr>
          <t>Renan Sthel Duque:</t>
        </r>
        <r>
          <rPr>
            <sz val="9"/>
            <color indexed="81"/>
            <rFont val="Segoe UI"/>
            <family val="2"/>
          </rPr>
          <t xml:space="preserve">
30 min</t>
        </r>
      </text>
    </comment>
    <comment ref="F24" authorId="0" shapeId="0">
      <text>
        <r>
          <rPr>
            <b/>
            <sz val="9"/>
            <color indexed="81"/>
            <rFont val="Segoe UI"/>
            <family val="2"/>
          </rPr>
          <t>Renan Sthel Duque:</t>
        </r>
        <r>
          <rPr>
            <sz val="9"/>
            <color indexed="81"/>
            <rFont val="Segoe UI"/>
            <family val="2"/>
          </rPr>
          <t xml:space="preserve">
30 min</t>
        </r>
      </text>
    </comment>
    <comment ref="F40" authorId="0" shapeId="0">
      <text>
        <r>
          <rPr>
            <b/>
            <sz val="9"/>
            <color indexed="81"/>
            <rFont val="Segoe UI"/>
            <family val="2"/>
          </rPr>
          <t>Renan Sthel Duque:</t>
        </r>
        <r>
          <rPr>
            <sz val="9"/>
            <color indexed="81"/>
            <rFont val="Segoe UI"/>
            <family val="2"/>
          </rPr>
          <t xml:space="preserve">
30 min</t>
        </r>
      </text>
    </comment>
  </commentList>
</comments>
</file>

<file path=xl/comments2.xml><?xml version="1.0" encoding="utf-8"?>
<comments xmlns="http://schemas.openxmlformats.org/spreadsheetml/2006/main">
  <authors>
    <author>Dayan Adionel Guimarães</author>
    <author>INATEL</author>
  </authors>
  <commentList>
    <comment ref="J2" authorId="0" shapeId="0">
      <text>
        <r>
          <rPr>
            <sz val="8"/>
            <color indexed="81"/>
            <rFont val="Tahoma"/>
            <family val="2"/>
          </rPr>
          <t>Carga horária Efetiva da disciplina no semestre.
Esta coluna é baseada no somatório da coluna "aulas do dia" da aba aulas</t>
        </r>
      </text>
    </comment>
    <comment ref="J3" authorId="0" shapeId="0">
      <text>
        <r>
          <rPr>
            <sz val="8"/>
            <color indexed="81"/>
            <rFont val="Tahoma"/>
            <family val="2"/>
          </rPr>
          <t xml:space="preserve">Carga horária total da disciplina no semestre.
</t>
        </r>
      </text>
    </comment>
    <comment ref="G6" authorId="1" shapeId="0">
      <text>
        <r>
          <rPr>
            <b/>
            <sz val="8"/>
            <color indexed="81"/>
            <rFont val="Tahoma"/>
            <family val="2"/>
          </rPr>
          <t>Total de Justificativa.</t>
        </r>
        <r>
          <rPr>
            <sz val="8"/>
            <color indexed="81"/>
            <rFont val="Tahoma"/>
            <family val="2"/>
          </rPr>
          <t xml:space="preserve">
Esta coluna é atualizada automaticamente pelo sistema</t>
        </r>
      </text>
    </comment>
    <comment ref="H6" authorId="1" shapeId="0">
      <text>
        <r>
          <rPr>
            <b/>
            <sz val="8"/>
            <color indexed="81"/>
            <rFont val="Tahoma"/>
            <family val="2"/>
          </rPr>
          <t xml:space="preserve">Total de Faltas de Laboratório.
</t>
        </r>
        <r>
          <rPr>
            <sz val="8"/>
            <color indexed="81"/>
            <rFont val="Tahoma"/>
            <family val="2"/>
          </rPr>
          <t>Esta coluna é atualizada automaticamente pelo sistema</t>
        </r>
      </text>
    </comment>
    <comment ref="J6" authorId="0" shapeId="0">
      <text>
        <r>
          <rPr>
            <sz val="8"/>
            <color indexed="81"/>
            <rFont val="Tahoma"/>
            <family val="2"/>
          </rPr>
          <t>No cruzamento do nome do aluno com o dia de aula coloque o número correspondente às faltas. Deixe em branco no caso de presença.</t>
        </r>
      </text>
    </comment>
    <comment ref="AA6" authorId="0" shapeId="0">
      <text>
        <r>
          <rPr>
            <sz val="8"/>
            <color indexed="81"/>
            <rFont val="Tahoma"/>
            <family val="2"/>
          </rPr>
          <t>No cruzamento do nome do aluno com o dia de aula coloque o número correspondente às faltas. Deixe em branco no caso de presença.</t>
        </r>
      </text>
    </comment>
    <comment ref="AR6" authorId="0" shapeId="0">
      <text>
        <r>
          <rPr>
            <sz val="8"/>
            <color indexed="81"/>
            <rFont val="Tahoma"/>
            <family val="2"/>
          </rPr>
          <t>No cruzamento do nome do aluno com o dia de aula coloque o número correspondente às faltas. Deixe em branco no caso de presença.</t>
        </r>
      </text>
    </comment>
    <comment ref="BI6" authorId="0" shapeId="0">
      <text>
        <r>
          <rPr>
            <sz val="8"/>
            <color indexed="81"/>
            <rFont val="Tahoma"/>
            <family val="2"/>
          </rPr>
          <t>No cruzamento do nome do aluno com o dia de aula coloque o número correspondente às faltas. Deixe em branco no caso de presença.</t>
        </r>
      </text>
    </comment>
    <comment ref="BZ6" authorId="0" shapeId="0">
      <text>
        <r>
          <rPr>
            <sz val="8"/>
            <color indexed="81"/>
            <rFont val="Tahoma"/>
            <family val="2"/>
          </rPr>
          <t>No cruzamento do nome do aluno com o dia de aula coloque o número correspondente às faltas. Deixe em branco no caso de presença.</t>
        </r>
      </text>
    </comment>
    <comment ref="CQ6" authorId="0" shapeId="0">
      <text>
        <r>
          <rPr>
            <sz val="8"/>
            <color indexed="81"/>
            <rFont val="Tahoma"/>
            <family val="2"/>
          </rPr>
          <t>No cruzamento do nome do aluno com o dia de aula coloque o número correspondente às faltas. Deixe em branco no caso de presença.</t>
        </r>
      </text>
    </comment>
    <comment ref="DH6" authorId="0" shapeId="0">
      <text>
        <r>
          <rPr>
            <sz val="8"/>
            <color indexed="81"/>
            <rFont val="Tahoma"/>
            <family val="2"/>
          </rPr>
          <t>A coluna da esquerda fornece o número total de faltas no semestre.
A coluna central fornece o total de faltas do aluno nas turmas de laboratório.
A coluna da direita fornece o número de justificativas de falta processadas pela SRA ao longo do semestre.</t>
        </r>
        <r>
          <rPr>
            <sz val="8"/>
            <color indexed="81"/>
            <rFont val="Tahoma"/>
            <family val="2"/>
          </rPr>
          <t xml:space="preserve">
</t>
        </r>
      </text>
    </comment>
    <comment ref="Y7" authorId="0" shapeId="0">
      <text>
        <r>
          <rPr>
            <b/>
            <sz val="8"/>
            <color indexed="81"/>
            <rFont val="Tahoma"/>
            <family val="2"/>
          </rPr>
          <t>SOMA DAS FALTAS DO MÊS</t>
        </r>
        <r>
          <rPr>
            <sz val="8"/>
            <color indexed="81"/>
            <rFont val="Tahoma"/>
            <family val="2"/>
          </rPr>
          <t xml:space="preserve">
</t>
        </r>
      </text>
    </comment>
    <comment ref="AP7" authorId="0" shapeId="0">
      <text>
        <r>
          <rPr>
            <b/>
            <sz val="8"/>
            <color indexed="81"/>
            <rFont val="Tahoma"/>
            <family val="2"/>
          </rPr>
          <t>SOMA DAS FALTAS DO MÊS</t>
        </r>
        <r>
          <rPr>
            <sz val="8"/>
            <color indexed="81"/>
            <rFont val="Tahoma"/>
            <family val="2"/>
          </rPr>
          <t xml:space="preserve">
</t>
        </r>
      </text>
    </comment>
    <comment ref="BG7" authorId="0" shapeId="0">
      <text>
        <r>
          <rPr>
            <b/>
            <sz val="8"/>
            <color indexed="81"/>
            <rFont val="Tahoma"/>
            <family val="2"/>
          </rPr>
          <t>SOMA DAS FALTAS DO MÊS</t>
        </r>
        <r>
          <rPr>
            <sz val="8"/>
            <color indexed="81"/>
            <rFont val="Tahoma"/>
            <family val="2"/>
          </rPr>
          <t xml:space="preserve">
</t>
        </r>
      </text>
    </comment>
    <comment ref="BX7" authorId="0" shapeId="0">
      <text>
        <r>
          <rPr>
            <b/>
            <sz val="8"/>
            <color indexed="81"/>
            <rFont val="Tahoma"/>
            <family val="2"/>
          </rPr>
          <t>SOMA DAS FALTAS DO MÊS</t>
        </r>
        <r>
          <rPr>
            <sz val="8"/>
            <color indexed="81"/>
            <rFont val="Tahoma"/>
            <family val="2"/>
          </rPr>
          <t xml:space="preserve">
</t>
        </r>
      </text>
    </comment>
    <comment ref="CO7" authorId="0" shapeId="0">
      <text>
        <r>
          <rPr>
            <b/>
            <sz val="8"/>
            <color indexed="81"/>
            <rFont val="Tahoma"/>
            <family val="2"/>
          </rPr>
          <t>SOMA DAS FALTAS DO MÊS</t>
        </r>
        <r>
          <rPr>
            <sz val="8"/>
            <color indexed="81"/>
            <rFont val="Tahoma"/>
            <family val="2"/>
          </rPr>
          <t xml:space="preserve">
</t>
        </r>
      </text>
    </comment>
    <comment ref="DF7" authorId="0" shapeId="0">
      <text>
        <r>
          <rPr>
            <b/>
            <sz val="8"/>
            <color indexed="81"/>
            <rFont val="Tahoma"/>
            <family val="2"/>
          </rPr>
          <t>SOMA DAS FALTAS DO MÊS</t>
        </r>
        <r>
          <rPr>
            <sz val="8"/>
            <color indexed="81"/>
            <rFont val="Tahoma"/>
            <family val="2"/>
          </rPr>
          <t xml:space="preserve">
</t>
        </r>
      </text>
    </comment>
  </commentList>
</comments>
</file>

<file path=xl/sharedStrings.xml><?xml version="1.0" encoding="utf-8"?>
<sst xmlns="http://schemas.openxmlformats.org/spreadsheetml/2006/main" count="411" uniqueCount="154">
  <si>
    <t>CONTROLE DE NOTAS</t>
  </si>
  <si>
    <t>Curso</t>
  </si>
  <si>
    <t>Período</t>
  </si>
  <si>
    <t>Matrícula</t>
  </si>
  <si>
    <t>Handle</t>
  </si>
  <si>
    <t>Aluno</t>
  </si>
  <si>
    <t>CONTROLE DE FREQÜÊNCIA</t>
  </si>
  <si>
    <t>Carga horária efetiva</t>
  </si>
  <si>
    <t>Carga horária estimada</t>
  </si>
  <si>
    <t>J</t>
  </si>
  <si>
    <t>Per.</t>
  </si>
  <si>
    <t>Matricula</t>
  </si>
  <si>
    <t>S</t>
  </si>
  <si>
    <t>Faltas</t>
  </si>
  <si>
    <t>Justificativas</t>
  </si>
  <si>
    <t>CONTROLE DE AULAS</t>
  </si>
  <si>
    <t>Link para o Portal Universitário</t>
  </si>
  <si>
    <t>Data</t>
  </si>
  <si>
    <t>Aulas do dia</t>
  </si>
  <si>
    <t>Aulas acumuldadas</t>
  </si>
  <si>
    <t>Conteúdo ministrado</t>
  </si>
  <si>
    <t>L</t>
  </si>
  <si>
    <t>Faltas de Lab.</t>
  </si>
  <si>
    <t>Total</t>
  </si>
  <si>
    <t>Resultado global de Faltas</t>
  </si>
  <si>
    <t>NP1</t>
  </si>
  <si>
    <t>NP2</t>
  </si>
  <si>
    <t>Média Parcial</t>
  </si>
  <si>
    <t>NP3</t>
  </si>
  <si>
    <t>M08 B  - Probabilidade e Processos Estocásticos / M11 B  - Probabilidade e Processos Estocásticos</t>
  </si>
  <si>
    <t>Professor : Renan Sthel Duque</t>
  </si>
  <si>
    <t>2o. Semestre de 2025</t>
  </si>
  <si>
    <t>GECN</t>
  </si>
  <si>
    <t>Pedro Armengol de Oliveira</t>
  </si>
  <si>
    <t>Tiago Braga Bassotto de Andrade</t>
  </si>
  <si>
    <t>Mateus Mendonça</t>
  </si>
  <si>
    <t>Clara de Lima Azevedo</t>
  </si>
  <si>
    <t>Guilherme Felipe Ribeiro</t>
  </si>
  <si>
    <t>Luiz Gustavo de Oliveira Costa</t>
  </si>
  <si>
    <t>Jéssica Guerzoni Figueiredo Silva</t>
  </si>
  <si>
    <t>GEC</t>
  </si>
  <si>
    <t>Thomas Ceccon Guimarães</t>
  </si>
  <si>
    <t>Ana Luiza Martins</t>
  </si>
  <si>
    <t>Gabriel Augusto Teodoro Vilas Boas</t>
  </si>
  <si>
    <t>Gabriella Gonçalves Moreira</t>
  </si>
  <si>
    <t>GEPN</t>
  </si>
  <si>
    <t>Dayane Paranhos de Oliveira</t>
  </si>
  <si>
    <t>GEP</t>
  </si>
  <si>
    <t>Iris de Cássia Souza</t>
  </si>
  <si>
    <t>Gabrielle Feliciano Reginaldo</t>
  </si>
  <si>
    <t>Julia Rezende Silva</t>
  </si>
  <si>
    <t>Márcio Herculano Léo</t>
  </si>
  <si>
    <t>Rafaela Teodoro Laurindo</t>
  </si>
  <si>
    <t>GETN</t>
  </si>
  <si>
    <t>João Vitor Pereira Domiciano</t>
  </si>
  <si>
    <t>João Gabriel Ferreira Ribeiro</t>
  </si>
  <si>
    <t>Jussara de Fátima Raimundo</t>
  </si>
  <si>
    <t>Nícolas Fontes Marchetti</t>
  </si>
  <si>
    <t>Pedro Costa Ribeiro</t>
  </si>
  <si>
    <t>Sabrina Sales Lemos Ribeiro</t>
  </si>
  <si>
    <t>Vinicius Moura Biaso Baptista</t>
  </si>
  <si>
    <t>GEAN</t>
  </si>
  <si>
    <t>João Gabriel Domingos</t>
  </si>
  <si>
    <t>Tiago Fernandes da Silva</t>
  </si>
  <si>
    <t>Rafael Paiva Cid</t>
  </si>
  <si>
    <t>Richard Luiz Ribeiro Costa</t>
  </si>
  <si>
    <t>GESN</t>
  </si>
  <si>
    <t>Gabriel Amilton Perroni Camargo</t>
  </si>
  <si>
    <t>Leonardo Fabricio Vieira Fernandes</t>
  </si>
  <si>
    <t>GES</t>
  </si>
  <si>
    <t>Patrick Augusto Lins de Oliveira Damião</t>
  </si>
  <si>
    <t>Tales Henrique Moreira Carvalho</t>
  </si>
  <si>
    <t>Juliano Moreira Aleixo</t>
  </si>
  <si>
    <t>Lucas de Souza Magalhães</t>
  </si>
  <si>
    <t>Maria Vitória da Costa</t>
  </si>
  <si>
    <t>Pedro Henrique de Paula Andrade</t>
  </si>
  <si>
    <t>Igor Nascimento Belisário</t>
  </si>
  <si>
    <t>Thiago Damas Ferreira Silva</t>
  </si>
  <si>
    <t>André Dias Balbino</t>
  </si>
  <si>
    <t>Fabio Miguel Caló Cruz</t>
  </si>
  <si>
    <t>Gabriel Baldoni de Souza Patta</t>
  </si>
  <si>
    <t>Igor Henrique Cauvilla Dias</t>
  </si>
  <si>
    <t>João Pedro Torrano Dias</t>
  </si>
  <si>
    <t>João Vitor de Lucena Lima</t>
  </si>
  <si>
    <t>Lídia Carolina de Andrade Rosa</t>
  </si>
  <si>
    <t>Luan Pierre de Paula</t>
  </si>
  <si>
    <t>Luiz Eduardo Gomes Costa</t>
  </si>
  <si>
    <t>Matheus de Alencar Costa Oliveira</t>
  </si>
  <si>
    <t>Tobias Bueno Pereira</t>
  </si>
  <si>
    <t>GELN</t>
  </si>
  <si>
    <t>Pedro Henrique de Toledo Carvalho</t>
  </si>
  <si>
    <t>Conceitos básicos da teoria de probabilidade. Modelos determinísticos e probabilísticos. Revisão da teoria de conjuntos. Experimento aleatório, espaço amostral, eventos.</t>
  </si>
  <si>
    <t>Definições de probabilidade. Teoremas de probabilidade. Probabilidade conjunta. Probabilidade condicional.</t>
  </si>
  <si>
    <t>Teorema da probabilidade total. Teorema de Bayes.</t>
  </si>
  <si>
    <t>Análise de confiabilidade. Diagramas de árvore. Aplicações.</t>
  </si>
  <si>
    <t xml:space="preserve">Variáveis aleatórias. Definição e classificação de variáveis aleatórias. Função de distribuição cumulativa e propriedades. </t>
  </si>
  <si>
    <t>Função massa de probabilidade. Função densidade de probabilidade e propriedades.</t>
  </si>
  <si>
    <t>Variáveis aleatórias múltiplas. Funções de probabilidade conjuntas.</t>
  </si>
  <si>
    <t xml:space="preserve">Funções de variáveis aleatórias. </t>
  </si>
  <si>
    <t>Médias estatísticas de variáveis aleatórias. Média de uma variável aleatória.  Média de uma função de uma variável aleatória.</t>
  </si>
  <si>
    <t>Médias para variáveis aleatórias múltiplas. Propriedades da média de variáveis aleatórias.</t>
  </si>
  <si>
    <t>Momentos. Variância e desvio padrão. Momentos conjuntos.</t>
  </si>
  <si>
    <t>Função característica.</t>
  </si>
  <si>
    <t>Distribuições especiais de probabilidade. Distribuição de Bernoulli. Distribuição binomial. Distribuição de Poisson.</t>
  </si>
  <si>
    <t>Distribuição uniforme. Distribuição exponencial.</t>
  </si>
  <si>
    <t>Distribuição gaussiana. Distribuição de Rayleigh. Teorema do limite central.</t>
  </si>
  <si>
    <t>Processos Estocásticos. Definições e exemplos. Médias estatísticas de processos estocásticos.</t>
  </si>
  <si>
    <t>Participação na feira tecnológica do Inatel.</t>
  </si>
  <si>
    <t>Função de autocorrelação de processos estocásticos.</t>
  </si>
  <si>
    <t>Classificação de processos estocásticos. Estacionariedade de processos estocásticos.</t>
  </si>
  <si>
    <t>Médias temporais de processos estocásticos e teorema de ergodicidade.</t>
  </si>
  <si>
    <t>Processamento de sinais aleatórios. Densidade espectral de potência de um processo estocástico.</t>
  </si>
  <si>
    <t>Resposta dos sistemas lineares e invariantes no tempo aos processos estocásticos.</t>
  </si>
  <si>
    <t>Ruído branco Gaussiano.</t>
  </si>
  <si>
    <t>Cadeias de Markov. Cadeias de Markov discretas no tempo: definições. Cadeias de Markov discretas no tempo: probabilidade de um caminho, probabilidade de transição em n passos.</t>
  </si>
  <si>
    <t>Vetor de probabilidade dos estados de passo 1. Vetor de probabilidade dos estados de passo n.</t>
  </si>
  <si>
    <t>Comportamento de uma cadeia de Markov em regime permanente.</t>
  </si>
  <si>
    <t xml:space="preserve">Introdução à teoria de filas. Elementos de um sistema de filas. </t>
  </si>
  <si>
    <t>Fila M/M/1.</t>
  </si>
  <si>
    <t>Fila M/M/1/N-1/N.</t>
  </si>
  <si>
    <t>Fila M/M/N/0.</t>
  </si>
  <si>
    <t xml:space="preserve">Fila M/M/m. </t>
  </si>
  <si>
    <t>Fila M/M/m/J/K.</t>
  </si>
  <si>
    <t>Fila M/G/1.</t>
  </si>
  <si>
    <t>Filas com prioridades.</t>
  </si>
  <si>
    <t>Filas com população finita.</t>
  </si>
  <si>
    <t>Filas com multiserviços.</t>
  </si>
  <si>
    <t>Redes de filas.</t>
  </si>
  <si>
    <t>Aula Magna</t>
  </si>
  <si>
    <t>EX1</t>
  </si>
  <si>
    <t>P1</t>
  </si>
  <si>
    <t>Ex2</t>
  </si>
  <si>
    <t>P2</t>
  </si>
  <si>
    <t>Fetin</t>
  </si>
  <si>
    <t>SUB</t>
  </si>
  <si>
    <t>FAZERNP3</t>
  </si>
  <si>
    <t>Média Final</t>
  </si>
  <si>
    <t xml:space="preserve"> </t>
  </si>
  <si>
    <t>Aprovados:</t>
  </si>
  <si>
    <t>Reprovados:</t>
  </si>
  <si>
    <t>NP3:</t>
  </si>
  <si>
    <t xml:space="preserve">SUB: </t>
  </si>
  <si>
    <t>Depois da NP3</t>
  </si>
  <si>
    <t>M08-B M11-B</t>
  </si>
  <si>
    <t>Média</t>
  </si>
  <si>
    <t>Desvio padrão</t>
  </si>
  <si>
    <t>Notas acima de 60</t>
  </si>
  <si>
    <t>Notas entre 30 e 60</t>
  </si>
  <si>
    <t>Notas abaixo de 30</t>
  </si>
  <si>
    <t>Não compareceram</t>
  </si>
  <si>
    <t>Total de alunos</t>
  </si>
  <si>
    <t>Resultados de M008-B M11-B</t>
  </si>
  <si>
    <t>NC</t>
  </si>
  <si>
    <t>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</si>
</sst>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16]mmmm\-yy;@"/>
    <numFmt numFmtId="165" formatCode="00"/>
  </numFmts>
  <fonts count="25" x14ac:knownFonts="1">
    <font>
      <sz val="11"/>
      <color theme="1"/>
      <name val="Calibri"/>
      <family val="2"/>
      <scheme val="minor"/>
    </font>
    <font>
      <b/>
      <sz val="10"/>
      <name val="Arial"/>
      <family val="2"/>
    </font>
    <font>
      <b/>
      <sz val="12"/>
      <name val="Arial"/>
      <family val="2"/>
    </font>
    <font>
      <b/>
      <sz val="12"/>
      <name val="Arial"/>
      <family val="2"/>
    </font>
    <font>
      <sz val="10"/>
      <name val="Arial"/>
      <family val="2"/>
    </font>
    <font>
      <b/>
      <sz val="8"/>
      <name val="Arial"/>
      <family val="2"/>
    </font>
    <font>
      <sz val="10"/>
      <name val="Arial"/>
      <family val="2"/>
    </font>
    <font>
      <b/>
      <sz val="10"/>
      <name val="Arial"/>
      <family val="2"/>
    </font>
    <font>
      <b/>
      <sz val="10"/>
      <color indexed="10"/>
      <name val="Symbol"/>
      <family val="1"/>
      <charset val="2"/>
    </font>
    <font>
      <sz val="10"/>
      <color indexed="8"/>
      <name val="Arial"/>
      <family val="2"/>
    </font>
    <font>
      <b/>
      <sz val="10"/>
      <color indexed="10"/>
      <name val="Arial"/>
      <family val="2"/>
    </font>
    <font>
      <b/>
      <sz val="10"/>
      <color indexed="12"/>
      <name val="Arial"/>
      <family val="2"/>
    </font>
    <font>
      <sz val="8"/>
      <color indexed="81"/>
      <name val="Tahoma"/>
      <family val="2"/>
    </font>
    <font>
      <b/>
      <sz val="8"/>
      <color indexed="81"/>
      <name val="Tahoma"/>
      <family val="2"/>
    </font>
    <font>
      <b/>
      <u/>
      <sz val="10"/>
      <color indexed="12"/>
      <name val="Arial"/>
      <family val="2"/>
    </font>
    <font>
      <u/>
      <sz val="10"/>
      <color indexed="12"/>
      <name val="Arial"/>
      <family val="2"/>
    </font>
    <font>
      <sz val="10"/>
      <color indexed="12"/>
      <name val="Arial"/>
      <family val="2"/>
    </font>
    <font>
      <b/>
      <sz val="10"/>
      <color rgb="FF0000FF"/>
      <name val="Arial"/>
      <family val="2"/>
      <charset val="1"/>
    </font>
    <font>
      <sz val="11"/>
      <name val="Calibri"/>
      <family val="2"/>
      <scheme val="minor"/>
    </font>
    <font>
      <b/>
      <sz val="10"/>
      <name val="Arial"/>
      <family val="2"/>
      <charset val="1"/>
    </font>
    <font>
      <sz val="10"/>
      <color indexed="12"/>
      <name val="Arial"/>
      <family val="2"/>
    </font>
    <font>
      <b/>
      <sz val="10"/>
      <color rgb="FFFF0000"/>
      <name val="Arial"/>
      <family val="2"/>
    </font>
    <font>
      <b/>
      <sz val="11"/>
      <color theme="1"/>
      <name val="Calibri"/>
      <family val="2"/>
      <scheme val="minor"/>
    </font>
    <font>
      <sz val="9"/>
      <color indexed="81"/>
      <name val="Segoe UI"/>
      <family val="2"/>
    </font>
    <font>
      <b/>
      <sz val="9"/>
      <color indexed="81"/>
      <name val="Segoe UI"/>
      <family val="2"/>
    </font>
  </fonts>
  <fills count="15">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theme="3" tint="0.79998168889431442"/>
        <bgColor indexed="64"/>
      </patternFill>
    </fill>
    <fill>
      <patternFill patternType="solid">
        <fgColor rgb="FFC6D9F1"/>
        <bgColor rgb="FFDCE6F2"/>
      </patternFill>
    </fill>
    <fill>
      <patternFill patternType="solid">
        <fgColor theme="7" tint="0.79998168889431442"/>
        <bgColor indexed="64"/>
      </patternFill>
    </fill>
    <fill>
      <patternFill patternType="solid">
        <fgColor rgb="FFE6E0EC"/>
        <bgColor rgb="FFDCE6F2"/>
      </patternFill>
    </fill>
    <fill>
      <patternFill patternType="solid">
        <fgColor rgb="FFFFFF0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9"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ck">
        <color auto="1"/>
      </top>
      <bottom/>
      <diagonal/>
    </border>
    <border>
      <left style="thin">
        <color indexed="64"/>
      </left>
      <right style="thin">
        <color indexed="64"/>
      </right>
      <top style="thick">
        <color auto="1"/>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style="thin">
        <color auto="1"/>
      </top>
      <bottom/>
      <diagonal/>
    </border>
  </borders>
  <cellStyleXfs count="2">
    <xf numFmtId="0" fontId="0" fillId="0" borderId="0"/>
    <xf numFmtId="0" fontId="15" fillId="0" borderId="0" applyNumberFormat="0" applyFill="0" applyBorder="0" applyAlignment="0" applyProtection="0">
      <alignment vertical="top"/>
      <protection locked="0"/>
    </xf>
  </cellStyleXfs>
  <cellXfs count="135">
    <xf numFmtId="0" fontId="0" fillId="0" borderId="0" xfId="0"/>
    <xf numFmtId="0" fontId="1" fillId="0" borderId="0" xfId="0" applyFont="1" applyBorder="1" applyAlignment="1">
      <alignment horizontal="center"/>
    </xf>
    <xf numFmtId="0" fontId="1" fillId="0" borderId="0" xfId="0" applyNumberFormat="1" applyFont="1" applyBorder="1" applyAlignment="1">
      <alignment horizontal="left"/>
    </xf>
    <xf numFmtId="1" fontId="1" fillId="0" borderId="0" xfId="0" applyNumberFormat="1" applyFont="1" applyBorder="1" applyAlignment="1">
      <alignment horizontal="center"/>
    </xf>
    <xf numFmtId="0" fontId="0" fillId="0" borderId="0" xfId="0" applyBorder="1" applyAlignment="1">
      <alignment horizontal="center"/>
    </xf>
    <xf numFmtId="0" fontId="0" fillId="0" borderId="0" xfId="0" applyBorder="1"/>
    <xf numFmtId="0" fontId="0" fillId="0" borderId="0" xfId="0" applyNumberFormat="1" applyBorder="1" applyAlignment="1">
      <alignment horizontal="center"/>
    </xf>
    <xf numFmtId="0" fontId="0" fillId="0" borderId="0" xfId="0" applyNumberFormat="1" applyBorder="1"/>
    <xf numFmtId="0" fontId="2" fillId="0" borderId="0" xfId="0" applyFont="1" applyBorder="1" applyAlignment="1">
      <alignment horizontal="left"/>
    </xf>
    <xf numFmtId="0" fontId="3" fillId="0" borderId="0" xfId="0" applyFont="1" applyBorder="1"/>
    <xf numFmtId="0" fontId="0" fillId="0" borderId="0" xfId="0" applyBorder="1" applyAlignment="1">
      <alignment horizontal="left"/>
    </xf>
    <xf numFmtId="0" fontId="4" fillId="0" borderId="0" xfId="0" applyNumberFormat="1" applyFont="1" applyBorder="1" applyAlignment="1">
      <alignment horizontal="center"/>
    </xf>
    <xf numFmtId="0" fontId="0" fillId="0" borderId="0" xfId="0" applyNumberFormat="1" applyFont="1" applyFill="1" applyBorder="1" applyAlignment="1">
      <alignment horizontal="center"/>
    </xf>
    <xf numFmtId="0" fontId="1" fillId="0" borderId="0" xfId="0" applyFont="1"/>
    <xf numFmtId="0" fontId="1" fillId="0" borderId="0" xfId="0" applyNumberFormat="1" applyFont="1" applyAlignment="1">
      <alignment horizontal="center"/>
    </xf>
    <xf numFmtId="0" fontId="1" fillId="0" borderId="0" xfId="0" applyFont="1" applyAlignment="1">
      <alignment horizontal="center"/>
    </xf>
    <xf numFmtId="1" fontId="5" fillId="0" borderId="0" xfId="0" applyNumberFormat="1" applyFont="1"/>
    <xf numFmtId="0" fontId="1" fillId="0" borderId="0" xfId="0" applyNumberFormat="1" applyFont="1"/>
    <xf numFmtId="0" fontId="0" fillId="0" borderId="0" xfId="0" applyNumberFormat="1" applyAlignment="1">
      <alignment horizontal="center"/>
    </xf>
    <xf numFmtId="0" fontId="0" fillId="0" borderId="0" xfId="0" applyAlignment="1">
      <alignment horizontal="center"/>
    </xf>
    <xf numFmtId="0" fontId="0" fillId="0" borderId="0" xfId="0" applyNumberFormat="1"/>
    <xf numFmtId="0" fontId="3" fillId="0" borderId="0" xfId="0" applyFont="1" applyBorder="1" applyAlignment="1">
      <alignment horizontal="center"/>
    </xf>
    <xf numFmtId="0" fontId="4" fillId="0" borderId="0" xfId="0" applyFont="1"/>
    <xf numFmtId="0" fontId="3" fillId="0" borderId="0" xfId="0" applyFont="1" applyFill="1" applyBorder="1"/>
    <xf numFmtId="0" fontId="6" fillId="0" borderId="0" xfId="0" applyFont="1" applyAlignment="1">
      <alignment horizontal="center"/>
    </xf>
    <xf numFmtId="0" fontId="0" fillId="0" borderId="0" xfId="0" applyFill="1"/>
    <xf numFmtId="0" fontId="0" fillId="0" borderId="0" xfId="0" applyFill="1" applyBorder="1"/>
    <xf numFmtId="0" fontId="1" fillId="0" borderId="0" xfId="0" applyFont="1" applyFill="1" applyBorder="1" applyAlignment="1">
      <alignment vertical="center"/>
    </xf>
    <xf numFmtId="0" fontId="0" fillId="0" borderId="0" xfId="0" applyFill="1" applyBorder="1" applyAlignment="1">
      <alignment vertical="center" wrapText="1"/>
    </xf>
    <xf numFmtId="14" fontId="0" fillId="0" borderId="0" xfId="0" applyNumberFormat="1"/>
    <xf numFmtId="0" fontId="7" fillId="0" borderId="0" xfId="0" applyNumberFormat="1" applyFont="1" applyFill="1" applyBorder="1" applyAlignment="1"/>
    <xf numFmtId="0" fontId="8" fillId="2" borderId="1" xfId="0" applyFont="1" applyFill="1" applyBorder="1" applyAlignment="1">
      <alignment horizontal="center"/>
    </xf>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horizontal="left"/>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vertical="center"/>
    </xf>
    <xf numFmtId="0" fontId="0" fillId="0" borderId="0" xfId="0" applyFill="1" applyAlignment="1">
      <alignment vertical="center"/>
    </xf>
    <xf numFmtId="14" fontId="16" fillId="0" borderId="2" xfId="0" applyNumberFormat="1" applyFont="1" applyFill="1" applyBorder="1" applyAlignment="1">
      <alignment horizontal="center" vertical="center" wrapText="1"/>
    </xf>
    <xf numFmtId="0" fontId="16" fillId="0" borderId="2"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0" borderId="2" xfId="0" applyFont="1" applyFill="1" applyBorder="1" applyAlignment="1">
      <alignment horizontal="left" vertical="center" wrapText="1"/>
    </xf>
    <xf numFmtId="165" fontId="1" fillId="2" borderId="1" xfId="0" applyNumberFormat="1" applyFont="1" applyFill="1" applyBorder="1" applyAlignment="1">
      <alignment horizontal="center"/>
    </xf>
    <xf numFmtId="0" fontId="0" fillId="0" borderId="11" xfId="0" applyBorder="1"/>
    <xf numFmtId="0" fontId="0" fillId="5" borderId="0" xfId="0" applyFill="1" applyBorder="1"/>
    <xf numFmtId="0" fontId="0" fillId="5" borderId="0" xfId="0" applyNumberFormat="1" applyFill="1" applyBorder="1" applyAlignment="1">
      <alignment horizontal="center"/>
    </xf>
    <xf numFmtId="1" fontId="0" fillId="5" borderId="0" xfId="0" applyNumberFormat="1" applyFill="1" applyBorder="1" applyAlignment="1">
      <alignment horizontal="center"/>
    </xf>
    <xf numFmtId="0" fontId="0" fillId="5" borderId="0" xfId="0" applyNumberFormat="1" applyFont="1" applyFill="1" applyBorder="1" applyAlignment="1">
      <alignment horizontal="center"/>
    </xf>
    <xf numFmtId="0" fontId="0" fillId="5" borderId="0" xfId="0" applyNumberFormat="1" applyFont="1" applyFill="1" applyBorder="1" applyAlignment="1"/>
    <xf numFmtId="0" fontId="6" fillId="5" borderId="0" xfId="0" applyFont="1" applyFill="1" applyBorder="1"/>
    <xf numFmtId="0" fontId="9" fillId="5" borderId="1" xfId="0" applyFont="1" applyFill="1" applyBorder="1" applyAlignment="1">
      <alignment horizontal="center"/>
    </xf>
    <xf numFmtId="0" fontId="10" fillId="5" borderId="1" xfId="0" applyFont="1" applyFill="1" applyBorder="1" applyAlignment="1">
      <alignment horizontal="center"/>
    </xf>
    <xf numFmtId="0" fontId="11" fillId="5" borderId="1" xfId="0" applyFont="1" applyFill="1" applyBorder="1" applyAlignment="1">
      <alignment horizontal="center"/>
    </xf>
    <xf numFmtId="0" fontId="17" fillId="6" borderId="1" xfId="0" applyFont="1" applyFill="1" applyBorder="1" applyAlignment="1">
      <alignment horizontal="center"/>
    </xf>
    <xf numFmtId="0" fontId="1" fillId="5" borderId="1" xfId="0" applyFont="1" applyFill="1" applyBorder="1" applyAlignment="1">
      <alignment horizontal="center"/>
    </xf>
    <xf numFmtId="0" fontId="18" fillId="7" borderId="0" xfId="0" applyFont="1" applyFill="1" applyBorder="1"/>
    <xf numFmtId="0" fontId="18" fillId="7" borderId="0" xfId="0" applyNumberFormat="1" applyFont="1" applyFill="1" applyBorder="1" applyAlignment="1">
      <alignment horizontal="center"/>
    </xf>
    <xf numFmtId="1" fontId="18" fillId="7" borderId="0" xfId="0" applyNumberFormat="1" applyFont="1" applyFill="1" applyBorder="1" applyAlignment="1">
      <alignment horizontal="center"/>
    </xf>
    <xf numFmtId="0" fontId="18" fillId="7" borderId="0" xfId="0" applyNumberFormat="1" applyFont="1" applyFill="1" applyBorder="1" applyAlignment="1"/>
    <xf numFmtId="0" fontId="6" fillId="7" borderId="0" xfId="0" applyFont="1" applyFill="1" applyBorder="1"/>
    <xf numFmtId="0" fontId="6" fillId="7" borderId="1" xfId="0" applyFont="1" applyFill="1" applyBorder="1" applyAlignment="1">
      <alignment horizontal="center"/>
    </xf>
    <xf numFmtId="0" fontId="1" fillId="7" borderId="1" xfId="0" applyFont="1" applyFill="1" applyBorder="1" applyAlignment="1">
      <alignment horizontal="center"/>
    </xf>
    <xf numFmtId="0" fontId="19" fillId="8" borderId="1" xfId="0" applyFont="1" applyFill="1" applyBorder="1" applyAlignment="1">
      <alignment horizontal="center"/>
    </xf>
    <xf numFmtId="0" fontId="9" fillId="5" borderId="10" xfId="0" applyFont="1" applyFill="1" applyBorder="1" applyAlignment="1">
      <alignment horizontal="center"/>
    </xf>
    <xf numFmtId="0" fontId="10" fillId="5" borderId="10" xfId="0" applyFont="1" applyFill="1" applyBorder="1" applyAlignment="1">
      <alignment horizontal="center"/>
    </xf>
    <xf numFmtId="0" fontId="11" fillId="5" borderId="10" xfId="0" applyFont="1" applyFill="1" applyBorder="1" applyAlignment="1">
      <alignment horizontal="center"/>
    </xf>
    <xf numFmtId="0" fontId="17" fillId="6" borderId="10" xfId="0" applyFont="1" applyFill="1" applyBorder="1" applyAlignment="1">
      <alignment horizontal="center"/>
    </xf>
    <xf numFmtId="0" fontId="1" fillId="5" borderId="10" xfId="0" applyFont="1" applyFill="1" applyBorder="1" applyAlignment="1">
      <alignment horizontal="center"/>
    </xf>
    <xf numFmtId="0" fontId="18" fillId="7" borderId="11" xfId="0" applyFont="1" applyFill="1" applyBorder="1"/>
    <xf numFmtId="0" fontId="18" fillId="7" borderId="11" xfId="0" applyNumberFormat="1" applyFont="1" applyFill="1" applyBorder="1" applyAlignment="1">
      <alignment horizontal="center"/>
    </xf>
    <xf numFmtId="1" fontId="18" fillId="7" borderId="11" xfId="0" applyNumberFormat="1" applyFont="1" applyFill="1" applyBorder="1" applyAlignment="1">
      <alignment horizontal="center"/>
    </xf>
    <xf numFmtId="0" fontId="18" fillId="7" borderId="11" xfId="0" applyNumberFormat="1" applyFont="1" applyFill="1" applyBorder="1" applyAlignment="1"/>
    <xf numFmtId="0" fontId="6" fillId="7" borderId="11" xfId="0" applyFont="1" applyFill="1" applyBorder="1"/>
    <xf numFmtId="0" fontId="6" fillId="7" borderId="12" xfId="0" applyFont="1" applyFill="1" applyBorder="1" applyAlignment="1">
      <alignment horizontal="center"/>
    </xf>
    <xf numFmtId="0" fontId="1" fillId="7" borderId="12" xfId="0" applyFont="1" applyFill="1" applyBorder="1" applyAlignment="1">
      <alignment horizontal="center"/>
    </xf>
    <xf numFmtId="0" fontId="19" fillId="8" borderId="12" xfId="0" applyFont="1" applyFill="1" applyBorder="1" applyAlignment="1">
      <alignment horizontal="center"/>
    </xf>
    <xf numFmtId="0" fontId="20" fillId="0"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0" fillId="0" borderId="2" xfId="0" applyFont="1" applyFill="1" applyBorder="1" applyAlignment="1">
      <alignment horizontal="left" vertical="center" wrapText="1"/>
    </xf>
    <xf numFmtId="165" fontId="1" fillId="9" borderId="1" xfId="0" applyNumberFormat="1" applyFont="1" applyFill="1" applyBorder="1" applyAlignment="1">
      <alignment horizontal="center"/>
    </xf>
    <xf numFmtId="165" fontId="21" fillId="2" borderId="1" xfId="0" applyNumberFormat="1" applyFont="1" applyFill="1" applyBorder="1" applyAlignment="1">
      <alignment horizontal="center"/>
    </xf>
    <xf numFmtId="0" fontId="1" fillId="10" borderId="13" xfId="0" applyNumberFormat="1" applyFont="1" applyFill="1" applyBorder="1" applyAlignment="1">
      <alignment horizontal="center"/>
    </xf>
    <xf numFmtId="0" fontId="1" fillId="10" borderId="13" xfId="0" applyFont="1" applyFill="1" applyBorder="1" applyAlignment="1">
      <alignment horizontal="center"/>
    </xf>
    <xf numFmtId="1" fontId="5" fillId="10" borderId="13" xfId="0" applyNumberFormat="1" applyFont="1" applyFill="1" applyBorder="1"/>
    <xf numFmtId="0" fontId="1" fillId="10" borderId="13" xfId="0" applyNumberFormat="1" applyFont="1" applyFill="1" applyBorder="1" applyAlignment="1"/>
    <xf numFmtId="0" fontId="0" fillId="11" borderId="14" xfId="0" applyFill="1" applyBorder="1" applyAlignment="1">
      <alignment horizontal="center"/>
    </xf>
    <xf numFmtId="0" fontId="0" fillId="11" borderId="14" xfId="0" applyNumberFormat="1" applyFill="1" applyBorder="1" applyAlignment="1">
      <alignment horizontal="center"/>
    </xf>
    <xf numFmtId="1" fontId="0" fillId="11" borderId="14" xfId="0" applyNumberFormat="1" applyFill="1" applyBorder="1" applyAlignment="1">
      <alignment horizontal="center"/>
    </xf>
    <xf numFmtId="0" fontId="0" fillId="11" borderId="14" xfId="0" applyNumberFormat="1" applyFont="1" applyFill="1" applyBorder="1" applyAlignment="1">
      <alignment horizontal="center"/>
    </xf>
    <xf numFmtId="0" fontId="0" fillId="11" borderId="14" xfId="0" applyNumberFormat="1" applyFont="1" applyFill="1" applyBorder="1" applyAlignment="1"/>
    <xf numFmtId="0" fontId="0" fillId="11" borderId="14" xfId="0" applyFill="1" applyBorder="1"/>
    <xf numFmtId="0" fontId="0" fillId="0" borderId="0" xfId="0" applyNumberFormat="1" applyAlignment="1"/>
    <xf numFmtId="0" fontId="0" fillId="12" borderId="14" xfId="0" applyNumberFormat="1" applyFill="1" applyBorder="1" applyAlignment="1">
      <alignment horizontal="center"/>
    </xf>
    <xf numFmtId="0" fontId="0" fillId="12" borderId="14" xfId="0" applyFill="1" applyBorder="1" applyAlignment="1">
      <alignment horizontal="center"/>
    </xf>
    <xf numFmtId="0" fontId="0" fillId="12" borderId="14" xfId="0" applyFill="1" applyBorder="1"/>
    <xf numFmtId="0" fontId="0" fillId="0" borderId="0" xfId="0" applyNumberFormat="1" applyAlignment="1">
      <alignment horizontal="left"/>
    </xf>
    <xf numFmtId="0" fontId="0" fillId="0" borderId="0" xfId="0" applyNumberFormat="1" applyAlignment="1">
      <alignment horizontal="right"/>
    </xf>
    <xf numFmtId="0" fontId="0" fillId="11" borderId="16" xfId="0" applyNumberFormat="1" applyFill="1" applyBorder="1" applyAlignment="1">
      <alignment horizontal="center"/>
    </xf>
    <xf numFmtId="1" fontId="0" fillId="11" borderId="16" xfId="0" applyNumberFormat="1" applyFill="1" applyBorder="1" applyAlignment="1">
      <alignment horizontal="center"/>
    </xf>
    <xf numFmtId="0" fontId="0" fillId="11" borderId="16" xfId="0" applyNumberFormat="1" applyFont="1" applyFill="1" applyBorder="1" applyAlignment="1">
      <alignment horizontal="center"/>
    </xf>
    <xf numFmtId="0" fontId="0" fillId="11" borderId="16" xfId="0" applyNumberFormat="1" applyFont="1" applyFill="1" applyBorder="1" applyAlignment="1"/>
    <xf numFmtId="0" fontId="0" fillId="11" borderId="16" xfId="0" applyFill="1" applyBorder="1"/>
    <xf numFmtId="0" fontId="0" fillId="11" borderId="16" xfId="0" applyFill="1" applyBorder="1" applyAlignment="1">
      <alignment horizontal="center"/>
    </xf>
    <xf numFmtId="0" fontId="0" fillId="12" borderId="15" xfId="0" applyNumberFormat="1" applyFill="1" applyBorder="1" applyAlignment="1">
      <alignment horizontal="center"/>
    </xf>
    <xf numFmtId="0" fontId="0" fillId="12" borderId="15" xfId="0" applyFill="1" applyBorder="1" applyAlignment="1">
      <alignment horizontal="center"/>
    </xf>
    <xf numFmtId="0" fontId="0" fillId="12" borderId="15" xfId="0" applyFill="1" applyBorder="1"/>
    <xf numFmtId="0" fontId="22" fillId="0" borderId="0" xfId="0" applyFont="1"/>
    <xf numFmtId="0" fontId="22" fillId="0" borderId="0" xfId="0" applyNumberFormat="1" applyFont="1" applyAlignment="1">
      <alignment horizontal="right"/>
    </xf>
    <xf numFmtId="2" fontId="0" fillId="0" borderId="0" xfId="0" applyNumberFormat="1"/>
    <xf numFmtId="2" fontId="0" fillId="0" borderId="0" xfId="0" applyNumberFormat="1" applyAlignment="1">
      <alignment horizontal="center"/>
    </xf>
    <xf numFmtId="0" fontId="0" fillId="13" borderId="14" xfId="0" applyNumberFormat="1" applyFill="1" applyBorder="1" applyAlignment="1">
      <alignment horizontal="center"/>
    </xf>
    <xf numFmtId="0" fontId="0" fillId="13" borderId="14" xfId="0" applyFill="1" applyBorder="1" applyAlignment="1">
      <alignment horizontal="center"/>
    </xf>
    <xf numFmtId="0" fontId="0" fillId="13" borderId="14" xfId="0" applyFill="1" applyBorder="1"/>
    <xf numFmtId="0" fontId="0" fillId="14" borderId="14" xfId="0" applyNumberFormat="1" applyFill="1" applyBorder="1" applyAlignment="1">
      <alignment horizontal="center"/>
    </xf>
    <xf numFmtId="1" fontId="0" fillId="14" borderId="14" xfId="0" applyNumberFormat="1" applyFill="1" applyBorder="1" applyAlignment="1">
      <alignment horizontal="center"/>
    </xf>
    <xf numFmtId="0" fontId="0" fillId="14" borderId="14" xfId="0" applyNumberFormat="1" applyFont="1" applyFill="1" applyBorder="1" applyAlignment="1">
      <alignment horizontal="center"/>
    </xf>
    <xf numFmtId="0" fontId="0" fillId="14" borderId="14" xfId="0" applyNumberFormat="1" applyFont="1" applyFill="1" applyBorder="1" applyAlignment="1"/>
    <xf numFmtId="0" fontId="0" fillId="14" borderId="14" xfId="0" applyFill="1" applyBorder="1"/>
    <xf numFmtId="0" fontId="0" fillId="14" borderId="14" xfId="0" applyFill="1" applyBorder="1" applyAlignment="1">
      <alignment horizontal="center"/>
    </xf>
    <xf numFmtId="164" fontId="1" fillId="2" borderId="7" xfId="0" applyNumberFormat="1" applyFont="1" applyFill="1" applyBorder="1" applyAlignment="1">
      <alignment horizontal="center" vertical="center"/>
    </xf>
    <xf numFmtId="164" fontId="1" fillId="2" borderId="8" xfId="0" applyNumberFormat="1" applyFont="1" applyFill="1" applyBorder="1" applyAlignment="1">
      <alignment horizontal="center" vertical="center"/>
    </xf>
    <xf numFmtId="164" fontId="1" fillId="2" borderId="9" xfId="0" applyNumberFormat="1" applyFont="1" applyFill="1" applyBorder="1" applyAlignment="1">
      <alignment horizontal="center" vertic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vertical="center"/>
    </xf>
    <xf numFmtId="0" fontId="1" fillId="2" borderId="2" xfId="0" applyFont="1" applyFill="1" applyBorder="1" applyAlignment="1">
      <alignment horizontal="center" vertical="center"/>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14" fillId="0" borderId="0" xfId="1" applyFont="1" applyFill="1" applyBorder="1" applyAlignment="1" applyProtection="1">
      <alignment horizontal="left"/>
    </xf>
  </cellXfs>
  <cellStyles count="2">
    <cellStyle name="Hiperlink" xfId="1" builtinId="8"/>
    <cellStyle name="Normal" xfId="0" builtinId="0"/>
  </cellStyles>
  <dxfs count="52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color indexed="9"/>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color indexed="9"/>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2"/>
      </font>
    </dxf>
    <dxf>
      <font>
        <b/>
        <i val="0"/>
        <condense val="0"/>
        <extend val="0"/>
        <color indexed="12"/>
      </font>
    </dxf>
    <dxf>
      <font>
        <b/>
        <i val="0"/>
        <condense val="0"/>
        <extend val="0"/>
        <color indexed="12"/>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color indexed="9"/>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2"/>
      </font>
    </dxf>
    <dxf>
      <font>
        <color rgb="FF0070C0"/>
      </font>
    </dxf>
    <dxf>
      <font>
        <color rgb="FF00B050"/>
      </font>
    </dxf>
    <dxf>
      <font>
        <color rgb="FFFF0000"/>
      </font>
    </dxf>
    <dxf>
      <font>
        <color rgb="FF0070C0"/>
      </font>
    </dxf>
    <dxf>
      <font>
        <color rgb="FFFF0000"/>
      </font>
    </dxf>
    <dxf>
      <font>
        <color rgb="FF0070C0"/>
      </font>
    </dxf>
    <dxf>
      <font>
        <color rgb="FF00B050"/>
      </font>
    </dxf>
    <dxf>
      <font>
        <color rgb="FFFF0000"/>
      </font>
    </dxf>
    <dxf>
      <font>
        <color rgb="FF0070C0"/>
      </font>
    </dxf>
    <dxf>
      <font>
        <color rgb="FFFF0000"/>
      </font>
    </dxf>
    <dxf>
      <font>
        <color rgb="FF0070C0"/>
      </font>
    </dxf>
    <dxf>
      <font>
        <color rgb="FF00B050"/>
      </font>
    </dxf>
    <dxf>
      <font>
        <color rgb="FFFF0000"/>
      </font>
    </dxf>
    <dxf>
      <font>
        <color rgb="FF0070C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68FBE40-B964-453C-BEA2-77F32F2C294F}" ax:persistence="persistStorage"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12700</xdr:colOff>
          <xdr:row>0</xdr:row>
          <xdr:rowOff>12700</xdr:rowOff>
        </xdr:to>
        <xdr:sp macro="" textlink="">
          <xdr:nvSpPr>
            <xdr:cNvPr id="1025" name="TrinStgClass1" hidden="1">
              <a:extLst>
                <a:ext uri="{63B3BB69-23CF-44E3-9099-C40C66FF867C}">
                  <a14:compatExt spid="_x0000_s102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universitario.educacional.com.br/ensinosuperior/f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AH66"/>
  <sheetViews>
    <sheetView workbookViewId="0">
      <pane xSplit="6" ySplit="7" topLeftCell="G50" activePane="bottomRight" state="frozen"/>
      <selection pane="topRight" activeCell="G1" sqref="G1"/>
      <selection pane="bottomLeft" activeCell="A8" sqref="A8"/>
      <selection pane="bottomRight" activeCell="S58" sqref="S58"/>
    </sheetView>
  </sheetViews>
  <sheetFormatPr defaultColWidth="9.1796875" defaultRowHeight="14.5" x14ac:dyDescent="0.35"/>
  <cols>
    <col min="1" max="1" width="1.453125" customWidth="1"/>
    <col min="2" max="2" width="6.1796875" style="18" bestFit="1" customWidth="1"/>
    <col min="3" max="3" width="8.1796875" style="19" bestFit="1" customWidth="1"/>
    <col min="4" max="4" width="9.453125" style="19" bestFit="1" customWidth="1"/>
    <col min="5" max="5" width="0" hidden="1" customWidth="1"/>
    <col min="6" max="6" width="40.7265625" customWidth="1"/>
    <col min="7" max="12" width="5.6328125" customWidth="1"/>
    <col min="13" max="14" width="5.7265625" style="18" customWidth="1"/>
    <col min="15" max="15" width="12.26953125" style="18" bestFit="1" customWidth="1"/>
    <col min="16" max="16" width="10" style="18" bestFit="1" customWidth="1"/>
    <col min="17" max="17" width="5.7265625" style="18" customWidth="1"/>
    <col min="18" max="18" width="10.54296875" style="18" bestFit="1" customWidth="1"/>
    <col min="19" max="27" width="5.7265625" style="18" customWidth="1"/>
    <col min="28" max="34" width="9.1796875" style="20"/>
  </cols>
  <sheetData>
    <row r="1" spans="1:34" s="5" customFormat="1" x14ac:dyDescent="0.35">
      <c r="A1" s="1"/>
      <c r="B1" s="2"/>
      <c r="C1" s="3"/>
      <c r="D1" s="4"/>
      <c r="M1" s="6"/>
      <c r="N1" s="6"/>
      <c r="O1" s="6"/>
      <c r="P1" s="6"/>
      <c r="Q1" s="6"/>
      <c r="R1" s="6"/>
      <c r="S1" s="6"/>
      <c r="T1" s="6"/>
      <c r="U1" s="6"/>
      <c r="V1" s="6"/>
      <c r="W1" s="6"/>
      <c r="X1" s="6"/>
      <c r="Y1" s="6"/>
      <c r="Z1" s="6"/>
      <c r="AA1" s="6"/>
      <c r="AB1" s="7"/>
      <c r="AC1" s="7"/>
      <c r="AD1" s="7"/>
      <c r="AE1" s="7"/>
      <c r="AF1" s="7"/>
      <c r="AG1" s="7"/>
      <c r="AH1" s="7"/>
    </row>
    <row r="2" spans="1:34" s="5" customFormat="1" ht="15.5" x14ac:dyDescent="0.35">
      <c r="A2" s="8" t="s">
        <v>0</v>
      </c>
      <c r="B2" s="6"/>
      <c r="C2" s="4"/>
      <c r="D2" s="9"/>
      <c r="M2" s="6"/>
      <c r="N2" s="6"/>
      <c r="O2" s="6"/>
      <c r="P2" s="6"/>
      <c r="Q2" s="6"/>
      <c r="R2" s="6"/>
      <c r="S2" s="6"/>
      <c r="T2" s="6"/>
      <c r="U2" s="6"/>
      <c r="V2" s="6"/>
      <c r="W2" s="6"/>
      <c r="X2" s="6"/>
      <c r="Y2" s="6"/>
      <c r="Z2" s="6"/>
      <c r="AA2" s="6"/>
      <c r="AB2" s="7"/>
      <c r="AC2" s="7"/>
      <c r="AD2" s="7"/>
      <c r="AE2" s="7"/>
      <c r="AF2" s="7"/>
      <c r="AG2" s="7"/>
      <c r="AH2" s="7"/>
    </row>
    <row r="3" spans="1:34" s="5" customFormat="1" x14ac:dyDescent="0.35">
      <c r="A3" s="10" t="s">
        <v>29</v>
      </c>
      <c r="B3" s="6"/>
      <c r="C3" s="4"/>
      <c r="M3" s="6"/>
      <c r="N3" s="11"/>
      <c r="O3" s="6"/>
      <c r="P3" s="6"/>
      <c r="Q3" s="6"/>
      <c r="R3" s="6"/>
      <c r="S3" s="6"/>
      <c r="T3" s="6"/>
      <c r="U3" s="6"/>
      <c r="V3" s="6"/>
      <c r="W3" s="6"/>
      <c r="X3" s="6"/>
      <c r="Y3" s="6"/>
      <c r="Z3" s="6"/>
      <c r="AA3" s="6"/>
      <c r="AB3" s="7"/>
      <c r="AC3" s="7"/>
      <c r="AD3" s="7"/>
      <c r="AE3" s="7"/>
      <c r="AF3" s="7"/>
      <c r="AG3" s="7"/>
      <c r="AH3" s="7"/>
    </row>
    <row r="4" spans="1:34" s="5" customFormat="1" x14ac:dyDescent="0.35">
      <c r="A4" s="10" t="s">
        <v>30</v>
      </c>
      <c r="B4" s="6"/>
      <c r="C4" s="4"/>
      <c r="M4" s="6"/>
      <c r="N4" s="6"/>
      <c r="O4" s="6"/>
      <c r="P4" s="6"/>
      <c r="Q4" s="6"/>
      <c r="R4" s="6"/>
      <c r="S4" s="6"/>
      <c r="T4" s="6"/>
      <c r="U4" s="6"/>
      <c r="V4" s="6"/>
      <c r="W4" s="6"/>
      <c r="X4" s="6"/>
      <c r="Y4" s="6"/>
      <c r="Z4" s="6"/>
      <c r="AA4" s="6"/>
      <c r="AB4" s="7"/>
      <c r="AC4" s="7"/>
      <c r="AD4" s="7"/>
      <c r="AE4" s="7"/>
      <c r="AF4" s="7"/>
      <c r="AG4" s="7"/>
      <c r="AH4" s="7"/>
    </row>
    <row r="5" spans="1:34" s="5" customFormat="1" x14ac:dyDescent="0.35">
      <c r="A5" s="10" t="s">
        <v>31</v>
      </c>
      <c r="B5" s="6"/>
      <c r="C5" s="4"/>
      <c r="M5" s="6"/>
      <c r="N5" s="6"/>
      <c r="O5" s="6"/>
      <c r="P5" s="6"/>
      <c r="Q5" s="6"/>
      <c r="R5" s="6"/>
      <c r="S5" s="6"/>
      <c r="T5" s="6"/>
      <c r="U5" s="6"/>
      <c r="V5" s="6"/>
      <c r="W5" s="6"/>
      <c r="X5" s="6"/>
      <c r="Y5" s="6"/>
      <c r="Z5" s="6"/>
      <c r="AA5" s="6"/>
      <c r="AB5" s="7"/>
      <c r="AC5" s="7"/>
      <c r="AD5" s="7"/>
      <c r="AE5" s="7"/>
      <c r="AF5" s="7"/>
      <c r="AG5" s="7"/>
      <c r="AH5" s="7"/>
    </row>
    <row r="6" spans="1:34" s="5" customFormat="1" ht="15" thickBot="1" x14ac:dyDescent="0.4">
      <c r="A6" s="10"/>
      <c r="B6" s="12"/>
      <c r="C6" s="4"/>
      <c r="M6" s="6"/>
      <c r="N6" s="6"/>
      <c r="O6" s="6"/>
      <c r="P6" s="6"/>
      <c r="Q6" s="6"/>
      <c r="R6" s="6"/>
      <c r="S6" s="6"/>
      <c r="T6" s="6"/>
      <c r="U6" s="6" t="s">
        <v>143</v>
      </c>
      <c r="V6" s="6"/>
      <c r="W6" s="6"/>
      <c r="X6" s="6"/>
      <c r="Y6" s="6"/>
      <c r="Z6" s="6"/>
      <c r="AA6" s="6"/>
      <c r="AB6" s="7"/>
      <c r="AC6" s="7"/>
      <c r="AD6" s="7"/>
      <c r="AE6" s="7"/>
      <c r="AF6" s="7"/>
      <c r="AG6" s="7"/>
      <c r="AH6" s="7"/>
    </row>
    <row r="7" spans="1:34" s="13" customFormat="1" ht="13.5" thickBot="1" x14ac:dyDescent="0.35">
      <c r="B7" s="83" t="s">
        <v>1</v>
      </c>
      <c r="C7" s="84" t="s">
        <v>2</v>
      </c>
      <c r="D7" s="84" t="s">
        <v>3</v>
      </c>
      <c r="E7" s="85" t="s">
        <v>4</v>
      </c>
      <c r="F7" s="86" t="s">
        <v>5</v>
      </c>
      <c r="G7" s="83" t="s">
        <v>129</v>
      </c>
      <c r="H7" s="83" t="s">
        <v>130</v>
      </c>
      <c r="I7" s="83" t="s">
        <v>131</v>
      </c>
      <c r="J7" s="83" t="s">
        <v>132</v>
      </c>
      <c r="K7" s="83" t="s">
        <v>133</v>
      </c>
      <c r="L7" s="83" t="s">
        <v>134</v>
      </c>
      <c r="M7" s="83" t="s">
        <v>25</v>
      </c>
      <c r="N7" s="83" t="s">
        <v>26</v>
      </c>
      <c r="O7" s="83" t="s">
        <v>27</v>
      </c>
      <c r="P7" s="83" t="s">
        <v>135</v>
      </c>
      <c r="Q7" s="83" t="s">
        <v>28</v>
      </c>
      <c r="R7" s="83" t="s">
        <v>136</v>
      </c>
      <c r="S7" s="14"/>
      <c r="T7" s="14"/>
      <c r="U7" s="14"/>
      <c r="V7" s="14"/>
      <c r="W7" s="14"/>
      <c r="X7" s="14"/>
      <c r="Y7" s="14"/>
      <c r="Z7" s="14"/>
      <c r="AA7" s="14"/>
      <c r="AB7" s="17"/>
      <c r="AC7" s="17"/>
      <c r="AD7" s="17"/>
      <c r="AE7" s="17"/>
      <c r="AF7" s="17"/>
      <c r="AG7" s="17"/>
      <c r="AH7" s="17"/>
    </row>
    <row r="8" spans="1:34" x14ac:dyDescent="0.35">
      <c r="B8" s="88" t="s">
        <v>32</v>
      </c>
      <c r="C8" s="89">
        <v>10</v>
      </c>
      <c r="D8" s="90">
        <v>1701</v>
      </c>
      <c r="E8" s="91">
        <v>100847968</v>
      </c>
      <c r="F8" s="92" t="s">
        <v>42</v>
      </c>
      <c r="G8" s="87"/>
      <c r="H8" s="88">
        <v>34</v>
      </c>
      <c r="I8" s="87"/>
      <c r="J8" s="88"/>
      <c r="K8" s="87" t="s">
        <v>137</v>
      </c>
      <c r="L8" s="88" t="s">
        <v>137</v>
      </c>
      <c r="M8" s="88">
        <f t="shared" ref="M8" si="0">IF(N(G8)+N(H8)&gt;=100,100,N(G8)+N(H8))</f>
        <v>34</v>
      </c>
      <c r="N8" s="88">
        <f t="shared" ref="N8" si="1">IF(N(I8)+N(J8)+N(K8)&gt;=100,100,ROUND(N(I8)+N(J8)+N(K8),0))</f>
        <v>0</v>
      </c>
      <c r="O8" s="88">
        <f t="shared" ref="O8" si="2">ROUND(( ROUND(M8,0)+ROUND(N8,0))/2,0)</f>
        <v>17</v>
      </c>
      <c r="P8" s="88"/>
      <c r="Q8" s="88"/>
      <c r="R8" s="88">
        <f t="shared" ref="R8" si="3">IF(AND(O8&gt;=30,O8&lt;60),ROUND(0.5*O8+0.5*N(Q8),0),O8)</f>
        <v>17</v>
      </c>
      <c r="T8" s="93" t="s">
        <v>138</v>
      </c>
      <c r="U8" s="93"/>
      <c r="V8" s="93">
        <f>COUNTIF(O8:O57,"&gt;=60")</f>
        <v>0</v>
      </c>
      <c r="AA8" s="20"/>
      <c r="AH8"/>
    </row>
    <row r="9" spans="1:34" x14ac:dyDescent="0.35">
      <c r="B9" s="94" t="s">
        <v>32</v>
      </c>
      <c r="C9" s="95">
        <v>8</v>
      </c>
      <c r="D9" s="95">
        <v>1897</v>
      </c>
      <c r="E9" s="96">
        <v>100843247</v>
      </c>
      <c r="F9" s="96" t="s">
        <v>36</v>
      </c>
      <c r="G9" s="95"/>
      <c r="H9" s="94">
        <v>59</v>
      </c>
      <c r="I9" s="95"/>
      <c r="J9" s="94"/>
      <c r="K9" s="95" t="s">
        <v>137</v>
      </c>
      <c r="L9" s="94" t="s">
        <v>137</v>
      </c>
      <c r="M9" s="94">
        <f t="shared" ref="M9:M57" si="4">IF(N(G9)+N(H9)&gt;=100,100,N(G9)+N(H9))</f>
        <v>59</v>
      </c>
      <c r="N9" s="94">
        <f t="shared" ref="N9:N57" si="5">IF(N(I9)+N(J9)+N(K9)&gt;=100,100,ROUND(N(I9)+N(J9)+N(K9),0))</f>
        <v>0</v>
      </c>
      <c r="O9" s="94">
        <f t="shared" ref="O9:O57" si="6">ROUND(( ROUND(M9,0)+ROUND(N9,0))/2,0)</f>
        <v>30</v>
      </c>
      <c r="P9" s="94"/>
      <c r="Q9" s="94"/>
      <c r="R9" s="94">
        <f t="shared" ref="R9:R57" si="7">IF(AND(O9&gt;=30,O9&lt;60),ROUND(0.5*O9+0.5*N(Q9),0),O9)</f>
        <v>15</v>
      </c>
      <c r="T9" s="97" t="s">
        <v>139</v>
      </c>
      <c r="V9" s="98">
        <f>COUNTIF(P8:P57,"=N?o")-V8</f>
        <v>0</v>
      </c>
      <c r="AA9" s="20"/>
      <c r="AH9"/>
    </row>
    <row r="10" spans="1:34" x14ac:dyDescent="0.35">
      <c r="B10" s="88" t="s">
        <v>32</v>
      </c>
      <c r="C10" s="89">
        <v>10</v>
      </c>
      <c r="D10" s="90">
        <v>1707</v>
      </c>
      <c r="E10" s="91">
        <v>100847836</v>
      </c>
      <c r="F10" s="92" t="s">
        <v>43</v>
      </c>
      <c r="G10" s="87"/>
      <c r="H10" s="88">
        <v>81</v>
      </c>
      <c r="I10" s="87"/>
      <c r="J10" s="88"/>
      <c r="K10" s="87" t="s">
        <v>137</v>
      </c>
      <c r="L10" s="88" t="s">
        <v>137</v>
      </c>
      <c r="M10" s="88">
        <f t="shared" si="4"/>
        <v>81</v>
      </c>
      <c r="N10" s="88">
        <f t="shared" si="5"/>
        <v>0</v>
      </c>
      <c r="O10" s="88">
        <f t="shared" si="6"/>
        <v>41</v>
      </c>
      <c r="P10" s="88"/>
      <c r="Q10" s="88"/>
      <c r="R10" s="88">
        <f t="shared" si="7"/>
        <v>21</v>
      </c>
      <c r="T10" s="93" t="s">
        <v>140</v>
      </c>
      <c r="U10" s="93"/>
      <c r="V10" s="93">
        <f>COUNTIF(P8:P57,"=Sim")</f>
        <v>0</v>
      </c>
      <c r="AA10" s="20"/>
      <c r="AH10"/>
    </row>
    <row r="11" spans="1:34" x14ac:dyDescent="0.35">
      <c r="B11" s="94" t="s">
        <v>32</v>
      </c>
      <c r="C11" s="95">
        <v>10</v>
      </c>
      <c r="D11" s="95">
        <v>1744</v>
      </c>
      <c r="E11" s="96">
        <v>100848107</v>
      </c>
      <c r="F11" s="96" t="s">
        <v>44</v>
      </c>
      <c r="G11" s="95"/>
      <c r="H11" s="94">
        <v>32</v>
      </c>
      <c r="I11" s="95"/>
      <c r="J11" s="94"/>
      <c r="K11" s="95" t="s">
        <v>137</v>
      </c>
      <c r="L11" s="94" t="s">
        <v>137</v>
      </c>
      <c r="M11" s="94">
        <f t="shared" si="4"/>
        <v>32</v>
      </c>
      <c r="N11" s="94">
        <f t="shared" si="5"/>
        <v>0</v>
      </c>
      <c r="O11" s="94">
        <f t="shared" si="6"/>
        <v>16</v>
      </c>
      <c r="P11" s="94"/>
      <c r="Q11" s="94"/>
      <c r="R11" s="94">
        <f t="shared" si="7"/>
        <v>16</v>
      </c>
      <c r="T11" s="97" t="s">
        <v>141</v>
      </c>
      <c r="V11" s="98">
        <f>COUNTIF(P8:P57,"=Sim (Sub)")</f>
        <v>0</v>
      </c>
      <c r="AA11" s="20"/>
      <c r="AH11"/>
    </row>
    <row r="12" spans="1:34" x14ac:dyDescent="0.35">
      <c r="B12" s="88" t="s">
        <v>32</v>
      </c>
      <c r="C12" s="89">
        <v>8</v>
      </c>
      <c r="D12" s="90">
        <v>2042</v>
      </c>
      <c r="E12" s="91">
        <v>100844242</v>
      </c>
      <c r="F12" s="92" t="s">
        <v>37</v>
      </c>
      <c r="G12" s="87"/>
      <c r="H12" s="88">
        <v>28</v>
      </c>
      <c r="I12" s="87"/>
      <c r="J12" s="88"/>
      <c r="K12" s="87" t="s">
        <v>137</v>
      </c>
      <c r="L12" s="88" t="s">
        <v>137</v>
      </c>
      <c r="M12" s="88">
        <f t="shared" si="4"/>
        <v>28</v>
      </c>
      <c r="N12" s="88">
        <f t="shared" si="5"/>
        <v>0</v>
      </c>
      <c r="O12" s="88">
        <f t="shared" si="6"/>
        <v>14</v>
      </c>
      <c r="P12" s="88"/>
      <c r="Q12" s="88"/>
      <c r="R12" s="88">
        <f t="shared" si="7"/>
        <v>14</v>
      </c>
      <c r="T12" s="93"/>
      <c r="U12" s="93"/>
      <c r="V12" s="93"/>
      <c r="AA12" s="20"/>
      <c r="AH12"/>
    </row>
    <row r="13" spans="1:34" x14ac:dyDescent="0.35">
      <c r="B13" s="94" t="s">
        <v>32</v>
      </c>
      <c r="C13" s="95">
        <v>9</v>
      </c>
      <c r="D13" s="95">
        <v>1801</v>
      </c>
      <c r="E13" s="96">
        <v>100843165</v>
      </c>
      <c r="F13" s="96" t="s">
        <v>39</v>
      </c>
      <c r="G13" s="95"/>
      <c r="H13" s="94">
        <v>47</v>
      </c>
      <c r="I13" s="95"/>
      <c r="J13" s="94"/>
      <c r="K13" s="95" t="s">
        <v>137</v>
      </c>
      <c r="L13" s="94" t="s">
        <v>137</v>
      </c>
      <c r="M13" s="94">
        <f t="shared" si="4"/>
        <v>47</v>
      </c>
      <c r="N13" s="94">
        <f t="shared" si="5"/>
        <v>0</v>
      </c>
      <c r="O13" s="94">
        <f t="shared" si="6"/>
        <v>24</v>
      </c>
      <c r="P13" s="94"/>
      <c r="Q13" s="94"/>
      <c r="R13" s="94">
        <f t="shared" si="7"/>
        <v>24</v>
      </c>
      <c r="T13" s="97" t="s">
        <v>142</v>
      </c>
      <c r="V13" s="98"/>
      <c r="AA13" s="20"/>
      <c r="AH13"/>
    </row>
    <row r="14" spans="1:34" x14ac:dyDescent="0.35">
      <c r="B14" s="88" t="s">
        <v>61</v>
      </c>
      <c r="C14" s="89">
        <v>6</v>
      </c>
      <c r="D14" s="90">
        <v>969</v>
      </c>
      <c r="E14" s="91">
        <v>100840712</v>
      </c>
      <c r="F14" s="92" t="s">
        <v>62</v>
      </c>
      <c r="G14" s="87"/>
      <c r="H14" s="88">
        <v>100</v>
      </c>
      <c r="I14" s="87"/>
      <c r="J14" s="88"/>
      <c r="K14" s="87" t="s">
        <v>137</v>
      </c>
      <c r="L14" s="88" t="s">
        <v>137</v>
      </c>
      <c r="M14" s="88">
        <f t="shared" si="4"/>
        <v>100</v>
      </c>
      <c r="N14" s="88">
        <f t="shared" si="5"/>
        <v>0</v>
      </c>
      <c r="O14" s="88">
        <f t="shared" si="6"/>
        <v>50</v>
      </c>
      <c r="P14" s="88"/>
      <c r="Q14" s="88"/>
      <c r="R14" s="88">
        <f t="shared" si="7"/>
        <v>25</v>
      </c>
      <c r="T14" s="93" t="s">
        <v>138</v>
      </c>
      <c r="U14" s="93"/>
      <c r="V14" s="93">
        <f>COUNTIF(R8:R57,"&gt;=50")</f>
        <v>0</v>
      </c>
      <c r="AA14" s="20"/>
      <c r="AH14"/>
    </row>
    <row r="15" spans="1:34" x14ac:dyDescent="0.35">
      <c r="B15" s="112" t="s">
        <v>53</v>
      </c>
      <c r="C15" s="113">
        <v>6</v>
      </c>
      <c r="D15" s="113">
        <v>9853</v>
      </c>
      <c r="E15" s="114">
        <v>100844923</v>
      </c>
      <c r="F15" s="114" t="s">
        <v>55</v>
      </c>
      <c r="G15" s="95"/>
      <c r="H15" s="94">
        <v>73</v>
      </c>
      <c r="I15" s="95"/>
      <c r="J15" s="94"/>
      <c r="K15" s="95" t="s">
        <v>137</v>
      </c>
      <c r="L15" s="94" t="s">
        <v>137</v>
      </c>
      <c r="M15" s="94">
        <f t="shared" si="4"/>
        <v>73</v>
      </c>
      <c r="N15" s="94">
        <f t="shared" si="5"/>
        <v>0</v>
      </c>
      <c r="O15" s="94">
        <f t="shared" si="6"/>
        <v>37</v>
      </c>
      <c r="P15" s="94"/>
      <c r="Q15" s="94"/>
      <c r="R15" s="94">
        <f t="shared" si="7"/>
        <v>19</v>
      </c>
      <c r="T15" s="97" t="s">
        <v>139</v>
      </c>
      <c r="V15" s="98">
        <f>S57-V14</f>
        <v>48</v>
      </c>
      <c r="AA15" s="20"/>
      <c r="AH15"/>
    </row>
    <row r="16" spans="1:34" x14ac:dyDescent="0.35">
      <c r="B16" s="88" t="s">
        <v>53</v>
      </c>
      <c r="C16" s="89">
        <v>5</v>
      </c>
      <c r="D16" s="90">
        <v>9771</v>
      </c>
      <c r="E16" s="91">
        <v>100839896</v>
      </c>
      <c r="F16" s="92" t="s">
        <v>54</v>
      </c>
      <c r="G16" s="87"/>
      <c r="H16" s="88" t="s">
        <v>152</v>
      </c>
      <c r="I16" s="87"/>
      <c r="J16" s="88"/>
      <c r="K16" s="87" t="s">
        <v>137</v>
      </c>
      <c r="L16" s="88" t="s">
        <v>137</v>
      </c>
      <c r="M16" s="88">
        <f t="shared" si="4"/>
        <v>0</v>
      </c>
      <c r="N16" s="88">
        <f t="shared" si="5"/>
        <v>0</v>
      </c>
      <c r="O16" s="88">
        <f t="shared" si="6"/>
        <v>0</v>
      </c>
      <c r="P16" s="88"/>
      <c r="Q16" s="88"/>
      <c r="R16" s="88">
        <f t="shared" si="7"/>
        <v>0</v>
      </c>
      <c r="T16" s="93"/>
      <c r="U16" s="93"/>
      <c r="V16" s="93"/>
      <c r="AA16" s="20"/>
      <c r="AH16"/>
    </row>
    <row r="17" spans="2:34" x14ac:dyDescent="0.35">
      <c r="B17" s="94" t="s">
        <v>53</v>
      </c>
      <c r="C17" s="95">
        <v>6</v>
      </c>
      <c r="D17" s="95">
        <v>9607</v>
      </c>
      <c r="E17" s="96">
        <v>100846476</v>
      </c>
      <c r="F17" s="96" t="s">
        <v>56</v>
      </c>
      <c r="G17" s="95"/>
      <c r="H17" s="94">
        <v>0</v>
      </c>
      <c r="I17" s="95"/>
      <c r="J17" s="94"/>
      <c r="K17" s="95" t="s">
        <v>137</v>
      </c>
      <c r="L17" s="94" t="s">
        <v>137</v>
      </c>
      <c r="M17" s="94">
        <f t="shared" si="4"/>
        <v>0</v>
      </c>
      <c r="N17" s="94">
        <f t="shared" si="5"/>
        <v>0</v>
      </c>
      <c r="O17" s="94">
        <f t="shared" si="6"/>
        <v>0</v>
      </c>
      <c r="P17" s="94"/>
      <c r="Q17" s="94"/>
      <c r="R17" s="94">
        <f t="shared" si="7"/>
        <v>0</v>
      </c>
      <c r="T17" s="97"/>
      <c r="V17" s="98"/>
      <c r="AA17" s="20"/>
      <c r="AH17"/>
    </row>
    <row r="18" spans="2:34" x14ac:dyDescent="0.35">
      <c r="B18" s="88" t="s">
        <v>32</v>
      </c>
      <c r="C18" s="89">
        <v>8</v>
      </c>
      <c r="D18" s="90">
        <v>1845</v>
      </c>
      <c r="E18" s="91">
        <v>100842349</v>
      </c>
      <c r="F18" s="92" t="s">
        <v>38</v>
      </c>
      <c r="G18" s="87"/>
      <c r="H18" s="88">
        <v>65</v>
      </c>
      <c r="I18" s="87"/>
      <c r="J18" s="88"/>
      <c r="K18" s="87" t="s">
        <v>137</v>
      </c>
      <c r="L18" s="88" t="s">
        <v>137</v>
      </c>
      <c r="M18" s="88">
        <f t="shared" si="4"/>
        <v>65</v>
      </c>
      <c r="N18" s="88">
        <f t="shared" si="5"/>
        <v>0</v>
      </c>
      <c r="O18" s="88">
        <f t="shared" si="6"/>
        <v>33</v>
      </c>
      <c r="P18" s="88"/>
      <c r="Q18" s="88"/>
      <c r="R18" s="88">
        <f t="shared" si="7"/>
        <v>17</v>
      </c>
      <c r="T18" s="93"/>
      <c r="U18" s="93"/>
      <c r="V18" s="93"/>
      <c r="AA18" s="20"/>
      <c r="AH18"/>
    </row>
    <row r="19" spans="2:34" x14ac:dyDescent="0.35">
      <c r="B19" s="94" t="s">
        <v>32</v>
      </c>
      <c r="C19" s="95">
        <v>6</v>
      </c>
      <c r="D19" s="95">
        <v>1934</v>
      </c>
      <c r="E19" s="96">
        <v>100845834</v>
      </c>
      <c r="F19" s="96" t="s">
        <v>35</v>
      </c>
      <c r="G19" s="95"/>
      <c r="H19" s="94">
        <v>54</v>
      </c>
      <c r="I19" s="95"/>
      <c r="J19" s="94"/>
      <c r="K19" s="95" t="s">
        <v>137</v>
      </c>
      <c r="L19" s="94" t="s">
        <v>137</v>
      </c>
      <c r="M19" s="94">
        <f t="shared" si="4"/>
        <v>54</v>
      </c>
      <c r="N19" s="94">
        <f t="shared" si="5"/>
        <v>0</v>
      </c>
      <c r="O19" s="94">
        <f t="shared" si="6"/>
        <v>27</v>
      </c>
      <c r="P19" s="94"/>
      <c r="Q19" s="94"/>
      <c r="R19" s="94">
        <f t="shared" si="7"/>
        <v>27</v>
      </c>
      <c r="T19" s="97"/>
      <c r="V19" s="98"/>
      <c r="AA19" s="20"/>
      <c r="AH19"/>
    </row>
    <row r="20" spans="2:34" x14ac:dyDescent="0.35">
      <c r="B20" s="88" t="s">
        <v>53</v>
      </c>
      <c r="C20" s="89">
        <v>6</v>
      </c>
      <c r="D20" s="90">
        <v>9748</v>
      </c>
      <c r="E20" s="91">
        <v>100846128</v>
      </c>
      <c r="F20" s="92" t="s">
        <v>57</v>
      </c>
      <c r="G20" s="87"/>
      <c r="H20" s="88" t="s">
        <v>152</v>
      </c>
      <c r="I20" s="87"/>
      <c r="J20" s="88"/>
      <c r="K20" s="87" t="s">
        <v>137</v>
      </c>
      <c r="L20" s="88" t="s">
        <v>137</v>
      </c>
      <c r="M20" s="88">
        <f t="shared" si="4"/>
        <v>0</v>
      </c>
      <c r="N20" s="88">
        <f t="shared" si="5"/>
        <v>0</v>
      </c>
      <c r="O20" s="88">
        <f t="shared" si="6"/>
        <v>0</v>
      </c>
      <c r="P20" s="88"/>
      <c r="Q20" s="88"/>
      <c r="R20" s="88">
        <f t="shared" si="7"/>
        <v>0</v>
      </c>
      <c r="T20" s="93"/>
      <c r="U20" s="93"/>
      <c r="V20" s="93"/>
      <c r="AA20" s="20"/>
      <c r="AH20"/>
    </row>
    <row r="21" spans="2:34" x14ac:dyDescent="0.35">
      <c r="B21" s="94" t="s">
        <v>32</v>
      </c>
      <c r="C21" s="95">
        <v>5</v>
      </c>
      <c r="D21" s="95">
        <v>2093</v>
      </c>
      <c r="E21" s="96">
        <v>100840021</v>
      </c>
      <c r="F21" s="96" t="s">
        <v>33</v>
      </c>
      <c r="G21" s="95"/>
      <c r="H21" s="94">
        <v>58</v>
      </c>
      <c r="I21" s="95"/>
      <c r="J21" s="94"/>
      <c r="K21" s="95" t="s">
        <v>137</v>
      </c>
      <c r="L21" s="94" t="s">
        <v>137</v>
      </c>
      <c r="M21" s="94">
        <f t="shared" si="4"/>
        <v>58</v>
      </c>
      <c r="N21" s="94">
        <f t="shared" si="5"/>
        <v>0</v>
      </c>
      <c r="O21" s="94">
        <f t="shared" si="6"/>
        <v>29</v>
      </c>
      <c r="P21" s="94"/>
      <c r="Q21" s="94"/>
      <c r="R21" s="94">
        <f t="shared" si="7"/>
        <v>29</v>
      </c>
      <c r="T21" s="97"/>
      <c r="V21" s="98"/>
      <c r="AA21" s="20"/>
      <c r="AH21"/>
    </row>
    <row r="22" spans="2:34" x14ac:dyDescent="0.35">
      <c r="B22" s="88" t="s">
        <v>53</v>
      </c>
      <c r="C22" s="89">
        <v>6</v>
      </c>
      <c r="D22" s="90">
        <v>9627</v>
      </c>
      <c r="E22" s="91">
        <v>100850698</v>
      </c>
      <c r="F22" s="92" t="s">
        <v>58</v>
      </c>
      <c r="G22" s="87"/>
      <c r="H22" s="88">
        <v>35</v>
      </c>
      <c r="I22" s="87"/>
      <c r="J22" s="88"/>
      <c r="K22" s="87" t="s">
        <v>137</v>
      </c>
      <c r="L22" s="88" t="s">
        <v>137</v>
      </c>
      <c r="M22" s="88">
        <f t="shared" si="4"/>
        <v>35</v>
      </c>
      <c r="N22" s="88">
        <f t="shared" si="5"/>
        <v>0</v>
      </c>
      <c r="O22" s="88">
        <f t="shared" si="6"/>
        <v>18</v>
      </c>
      <c r="P22" s="88"/>
      <c r="Q22" s="88"/>
      <c r="R22" s="88">
        <f t="shared" si="7"/>
        <v>18</v>
      </c>
      <c r="T22" s="93"/>
      <c r="U22" s="93"/>
      <c r="V22" s="93"/>
      <c r="AA22" s="20"/>
      <c r="AH22"/>
    </row>
    <row r="23" spans="2:34" x14ac:dyDescent="0.35">
      <c r="B23" s="94" t="s">
        <v>89</v>
      </c>
      <c r="C23" s="95">
        <v>5</v>
      </c>
      <c r="D23" s="95">
        <v>76</v>
      </c>
      <c r="E23" s="96">
        <v>100845435</v>
      </c>
      <c r="F23" s="96" t="s">
        <v>90</v>
      </c>
      <c r="G23" s="95"/>
      <c r="H23" s="94">
        <v>40</v>
      </c>
      <c r="I23" s="95"/>
      <c r="J23" s="94"/>
      <c r="K23" s="95" t="s">
        <v>137</v>
      </c>
      <c r="L23" s="94" t="s">
        <v>137</v>
      </c>
      <c r="M23" s="94">
        <f t="shared" si="4"/>
        <v>40</v>
      </c>
      <c r="N23" s="94">
        <f t="shared" si="5"/>
        <v>0</v>
      </c>
      <c r="O23" s="94">
        <f t="shared" si="6"/>
        <v>20</v>
      </c>
      <c r="P23" s="94"/>
      <c r="Q23" s="94"/>
      <c r="R23" s="94">
        <f t="shared" si="7"/>
        <v>20</v>
      </c>
      <c r="T23" s="97"/>
      <c r="V23" s="98"/>
      <c r="AA23" s="20"/>
      <c r="AH23"/>
    </row>
    <row r="24" spans="2:34" x14ac:dyDescent="0.35">
      <c r="B24" s="115" t="s">
        <v>61</v>
      </c>
      <c r="C24" s="116">
        <v>7</v>
      </c>
      <c r="D24" s="117">
        <v>1048</v>
      </c>
      <c r="E24" s="118">
        <v>100841418</v>
      </c>
      <c r="F24" s="119" t="s">
        <v>64</v>
      </c>
      <c r="G24" s="120"/>
      <c r="H24" s="115">
        <v>8</v>
      </c>
      <c r="I24" s="120"/>
      <c r="J24" s="115"/>
      <c r="K24" s="120" t="s">
        <v>137</v>
      </c>
      <c r="L24" s="115" t="s">
        <v>137</v>
      </c>
      <c r="M24" s="115">
        <f t="shared" si="4"/>
        <v>8</v>
      </c>
      <c r="N24" s="115">
        <f t="shared" si="5"/>
        <v>0</v>
      </c>
      <c r="O24" s="115">
        <f t="shared" si="6"/>
        <v>4</v>
      </c>
      <c r="P24" s="115"/>
      <c r="Q24" s="115"/>
      <c r="R24" s="115">
        <f t="shared" si="7"/>
        <v>4</v>
      </c>
      <c r="T24" s="93"/>
      <c r="U24" s="93"/>
      <c r="V24" s="93"/>
      <c r="AA24" s="20"/>
      <c r="AH24"/>
    </row>
    <row r="25" spans="2:34" x14ac:dyDescent="0.35">
      <c r="B25" s="94" t="s">
        <v>61</v>
      </c>
      <c r="C25" s="95">
        <v>7</v>
      </c>
      <c r="D25" s="95">
        <v>968</v>
      </c>
      <c r="E25" s="96">
        <v>100846005</v>
      </c>
      <c r="F25" s="96" t="s">
        <v>65</v>
      </c>
      <c r="G25" s="95"/>
      <c r="H25" s="94">
        <v>70</v>
      </c>
      <c r="I25" s="95"/>
      <c r="J25" s="94"/>
      <c r="K25" s="95" t="s">
        <v>137</v>
      </c>
      <c r="L25" s="94" t="s">
        <v>137</v>
      </c>
      <c r="M25" s="94">
        <f t="shared" si="4"/>
        <v>70</v>
      </c>
      <c r="N25" s="94">
        <f t="shared" si="5"/>
        <v>0</v>
      </c>
      <c r="O25" s="94">
        <f t="shared" si="6"/>
        <v>35</v>
      </c>
      <c r="P25" s="94"/>
      <c r="Q25" s="94"/>
      <c r="R25" s="94">
        <f t="shared" si="7"/>
        <v>18</v>
      </c>
      <c r="T25" s="97"/>
      <c r="V25" s="98"/>
      <c r="AA25" s="20"/>
      <c r="AH25"/>
    </row>
    <row r="26" spans="2:34" x14ac:dyDescent="0.35">
      <c r="B26" s="88" t="s">
        <v>53</v>
      </c>
      <c r="C26" s="89">
        <v>6</v>
      </c>
      <c r="D26" s="90">
        <v>9632</v>
      </c>
      <c r="E26" s="91">
        <v>100850925</v>
      </c>
      <c r="F26" s="92" t="s">
        <v>59</v>
      </c>
      <c r="G26" s="87"/>
      <c r="H26" s="88">
        <v>19</v>
      </c>
      <c r="I26" s="87"/>
      <c r="J26" s="88"/>
      <c r="K26" s="87" t="s">
        <v>137</v>
      </c>
      <c r="L26" s="88" t="s">
        <v>137</v>
      </c>
      <c r="M26" s="88">
        <f t="shared" si="4"/>
        <v>19</v>
      </c>
      <c r="N26" s="88">
        <f t="shared" si="5"/>
        <v>0</v>
      </c>
      <c r="O26" s="88">
        <f t="shared" si="6"/>
        <v>10</v>
      </c>
      <c r="P26" s="88"/>
      <c r="Q26" s="88"/>
      <c r="R26" s="88">
        <f t="shared" si="7"/>
        <v>10</v>
      </c>
      <c r="T26" s="93"/>
      <c r="U26" s="93"/>
      <c r="V26" s="93"/>
      <c r="AA26" s="20"/>
      <c r="AH26"/>
    </row>
    <row r="27" spans="2:34" x14ac:dyDescent="0.35">
      <c r="B27" s="94" t="s">
        <v>40</v>
      </c>
      <c r="C27" s="95">
        <v>10</v>
      </c>
      <c r="D27" s="95">
        <v>1812</v>
      </c>
      <c r="E27" s="96">
        <v>100843261</v>
      </c>
      <c r="F27" s="96" t="s">
        <v>41</v>
      </c>
      <c r="G27" s="95"/>
      <c r="H27" s="94">
        <v>18</v>
      </c>
      <c r="I27" s="95"/>
      <c r="J27" s="94"/>
      <c r="K27" s="95" t="s">
        <v>137</v>
      </c>
      <c r="L27" s="94" t="s">
        <v>137</v>
      </c>
      <c r="M27" s="94">
        <f t="shared" si="4"/>
        <v>18</v>
      </c>
      <c r="N27" s="94">
        <f t="shared" si="5"/>
        <v>0</v>
      </c>
      <c r="O27" s="94">
        <f t="shared" si="6"/>
        <v>9</v>
      </c>
      <c r="P27" s="94"/>
      <c r="Q27" s="94"/>
      <c r="R27" s="94">
        <f t="shared" si="7"/>
        <v>9</v>
      </c>
      <c r="T27" s="97"/>
      <c r="V27" s="98"/>
      <c r="AA27" s="20"/>
      <c r="AH27"/>
    </row>
    <row r="28" spans="2:34" x14ac:dyDescent="0.35">
      <c r="B28" s="88" t="s">
        <v>32</v>
      </c>
      <c r="C28" s="89">
        <v>5</v>
      </c>
      <c r="D28" s="90">
        <v>2104</v>
      </c>
      <c r="E28" s="91">
        <v>100840221</v>
      </c>
      <c r="F28" s="92" t="s">
        <v>34</v>
      </c>
      <c r="G28" s="87"/>
      <c r="H28" s="88">
        <v>77</v>
      </c>
      <c r="I28" s="87"/>
      <c r="J28" s="88"/>
      <c r="K28" s="87" t="s">
        <v>137</v>
      </c>
      <c r="L28" s="88" t="s">
        <v>137</v>
      </c>
      <c r="M28" s="88">
        <f t="shared" si="4"/>
        <v>77</v>
      </c>
      <c r="N28" s="88">
        <f t="shared" si="5"/>
        <v>0</v>
      </c>
      <c r="O28" s="88">
        <f t="shared" si="6"/>
        <v>39</v>
      </c>
      <c r="P28" s="88"/>
      <c r="Q28" s="88"/>
      <c r="R28" s="88">
        <f t="shared" si="7"/>
        <v>20</v>
      </c>
      <c r="T28" s="93"/>
      <c r="U28" s="93"/>
      <c r="V28" s="93"/>
      <c r="AA28" s="20"/>
      <c r="AH28"/>
    </row>
    <row r="29" spans="2:34" x14ac:dyDescent="0.35">
      <c r="B29" s="94" t="s">
        <v>61</v>
      </c>
      <c r="C29" s="95">
        <v>6</v>
      </c>
      <c r="D29" s="95">
        <v>1109</v>
      </c>
      <c r="E29" s="96">
        <v>100850633</v>
      </c>
      <c r="F29" s="96" t="s">
        <v>63</v>
      </c>
      <c r="G29" s="95"/>
      <c r="H29" s="94">
        <v>78</v>
      </c>
      <c r="I29" s="95"/>
      <c r="J29" s="94"/>
      <c r="K29" s="95" t="s">
        <v>137</v>
      </c>
      <c r="L29" s="94" t="s">
        <v>137</v>
      </c>
      <c r="M29" s="94">
        <f t="shared" si="4"/>
        <v>78</v>
      </c>
      <c r="N29" s="94">
        <f t="shared" si="5"/>
        <v>0</v>
      </c>
      <c r="O29" s="94">
        <f t="shared" si="6"/>
        <v>39</v>
      </c>
      <c r="P29" s="94"/>
      <c r="Q29" s="94"/>
      <c r="R29" s="94">
        <f t="shared" si="7"/>
        <v>20</v>
      </c>
      <c r="T29" s="97"/>
      <c r="V29" s="98"/>
      <c r="AA29" s="20"/>
      <c r="AH29"/>
    </row>
    <row r="30" spans="2:34" ht="15" thickBot="1" x14ac:dyDescent="0.4">
      <c r="B30" s="99" t="s">
        <v>53</v>
      </c>
      <c r="C30" s="100">
        <v>6</v>
      </c>
      <c r="D30" s="101">
        <v>9701</v>
      </c>
      <c r="E30" s="102">
        <v>100840527</v>
      </c>
      <c r="F30" s="103" t="s">
        <v>60</v>
      </c>
      <c r="G30" s="104"/>
      <c r="H30" s="99">
        <v>56</v>
      </c>
      <c r="I30" s="104"/>
      <c r="J30" s="99"/>
      <c r="K30" s="104" t="s">
        <v>137</v>
      </c>
      <c r="L30" s="99" t="s">
        <v>137</v>
      </c>
      <c r="M30" s="99">
        <f t="shared" si="4"/>
        <v>56</v>
      </c>
      <c r="N30" s="99">
        <f t="shared" si="5"/>
        <v>0</v>
      </c>
      <c r="O30" s="99">
        <f t="shared" si="6"/>
        <v>28</v>
      </c>
      <c r="P30" s="99"/>
      <c r="Q30" s="99"/>
      <c r="R30" s="99">
        <f t="shared" si="7"/>
        <v>28</v>
      </c>
      <c r="T30" s="93"/>
      <c r="U30" s="93"/>
      <c r="V30" s="93"/>
      <c r="AA30" s="20"/>
      <c r="AH30"/>
    </row>
    <row r="31" spans="2:34" ht="15" thickTop="1" x14ac:dyDescent="0.35">
      <c r="B31" s="105" t="s">
        <v>66</v>
      </c>
      <c r="C31" s="106">
        <v>6</v>
      </c>
      <c r="D31" s="106">
        <v>379</v>
      </c>
      <c r="E31" s="107">
        <v>100841785</v>
      </c>
      <c r="F31" s="107" t="s">
        <v>78</v>
      </c>
      <c r="G31" s="106"/>
      <c r="H31" s="105">
        <v>82</v>
      </c>
      <c r="I31" s="106"/>
      <c r="J31" s="105"/>
      <c r="K31" s="106" t="s">
        <v>137</v>
      </c>
      <c r="L31" s="105" t="s">
        <v>137</v>
      </c>
      <c r="M31" s="105">
        <f t="shared" si="4"/>
        <v>82</v>
      </c>
      <c r="N31" s="105">
        <f t="shared" si="5"/>
        <v>0</v>
      </c>
      <c r="O31" s="105">
        <f t="shared" si="6"/>
        <v>41</v>
      </c>
      <c r="P31" s="105"/>
      <c r="Q31" s="105"/>
      <c r="R31" s="105">
        <f t="shared" si="7"/>
        <v>21</v>
      </c>
      <c r="T31" s="97"/>
      <c r="V31" s="98"/>
      <c r="AA31" s="20"/>
      <c r="AH31"/>
    </row>
    <row r="32" spans="2:34" x14ac:dyDescent="0.35">
      <c r="B32" s="88" t="s">
        <v>45</v>
      </c>
      <c r="C32" s="89">
        <v>5</v>
      </c>
      <c r="D32" s="90">
        <v>220</v>
      </c>
      <c r="E32" s="91">
        <v>100845419</v>
      </c>
      <c r="F32" s="92" t="s">
        <v>46</v>
      </c>
      <c r="G32" s="87"/>
      <c r="H32" s="88" t="s">
        <v>152</v>
      </c>
      <c r="I32" s="87"/>
      <c r="J32" s="88"/>
      <c r="K32" s="87" t="s">
        <v>137</v>
      </c>
      <c r="L32" s="88" t="s">
        <v>137</v>
      </c>
      <c r="M32" s="88">
        <f t="shared" si="4"/>
        <v>0</v>
      </c>
      <c r="N32" s="88">
        <f t="shared" si="5"/>
        <v>0</v>
      </c>
      <c r="O32" s="88">
        <f t="shared" si="6"/>
        <v>0</v>
      </c>
      <c r="P32" s="88"/>
      <c r="Q32" s="88"/>
      <c r="R32" s="88">
        <f t="shared" si="7"/>
        <v>0</v>
      </c>
      <c r="T32" s="93"/>
      <c r="U32" s="93"/>
      <c r="V32" s="93"/>
      <c r="AA32" s="20"/>
      <c r="AH32"/>
    </row>
    <row r="33" spans="2:34" x14ac:dyDescent="0.35">
      <c r="B33" s="94" t="s">
        <v>66</v>
      </c>
      <c r="C33" s="95">
        <v>6</v>
      </c>
      <c r="D33" s="95">
        <v>396</v>
      </c>
      <c r="E33" s="96">
        <v>100846451</v>
      </c>
      <c r="F33" s="96" t="s">
        <v>79</v>
      </c>
      <c r="G33" s="95"/>
      <c r="H33" s="94">
        <v>73</v>
      </c>
      <c r="I33" s="95"/>
      <c r="J33" s="94"/>
      <c r="K33" s="95" t="s">
        <v>137</v>
      </c>
      <c r="L33" s="94" t="s">
        <v>137</v>
      </c>
      <c r="M33" s="94">
        <f t="shared" si="4"/>
        <v>73</v>
      </c>
      <c r="N33" s="94">
        <f t="shared" si="5"/>
        <v>0</v>
      </c>
      <c r="O33" s="94">
        <f t="shared" si="6"/>
        <v>37</v>
      </c>
      <c r="P33" s="94"/>
      <c r="Q33" s="94"/>
      <c r="R33" s="94">
        <f t="shared" si="7"/>
        <v>19</v>
      </c>
      <c r="T33" s="97"/>
      <c r="V33" s="98"/>
      <c r="AA33" s="20"/>
      <c r="AH33"/>
    </row>
    <row r="34" spans="2:34" x14ac:dyDescent="0.35">
      <c r="B34" s="88" t="s">
        <v>66</v>
      </c>
      <c r="C34" s="89">
        <v>4</v>
      </c>
      <c r="D34" s="90">
        <v>876</v>
      </c>
      <c r="E34" s="91">
        <v>100851087</v>
      </c>
      <c r="F34" s="92" t="s">
        <v>67</v>
      </c>
      <c r="G34" s="87"/>
      <c r="H34" s="88">
        <v>86</v>
      </c>
      <c r="I34" s="87"/>
      <c r="J34" s="88"/>
      <c r="K34" s="87" t="s">
        <v>137</v>
      </c>
      <c r="L34" s="88" t="s">
        <v>137</v>
      </c>
      <c r="M34" s="88">
        <f t="shared" si="4"/>
        <v>86</v>
      </c>
      <c r="N34" s="88">
        <f t="shared" si="5"/>
        <v>0</v>
      </c>
      <c r="O34" s="88">
        <f t="shared" si="6"/>
        <v>43</v>
      </c>
      <c r="P34" s="88"/>
      <c r="Q34" s="88"/>
      <c r="R34" s="88">
        <f t="shared" si="7"/>
        <v>22</v>
      </c>
      <c r="T34" s="93"/>
      <c r="U34" s="93"/>
      <c r="V34" s="93"/>
      <c r="AA34" s="20"/>
      <c r="AH34"/>
    </row>
    <row r="35" spans="2:34" x14ac:dyDescent="0.35">
      <c r="B35" s="94" t="s">
        <v>66</v>
      </c>
      <c r="C35" s="95">
        <v>6</v>
      </c>
      <c r="D35" s="95">
        <v>451</v>
      </c>
      <c r="E35" s="96">
        <v>100840914</v>
      </c>
      <c r="F35" s="96" t="s">
        <v>80</v>
      </c>
      <c r="G35" s="95"/>
      <c r="H35" s="94">
        <v>41</v>
      </c>
      <c r="I35" s="95"/>
      <c r="J35" s="94"/>
      <c r="K35" s="95" t="s">
        <v>137</v>
      </c>
      <c r="L35" s="94" t="s">
        <v>137</v>
      </c>
      <c r="M35" s="94">
        <f t="shared" si="4"/>
        <v>41</v>
      </c>
      <c r="N35" s="94">
        <f t="shared" si="5"/>
        <v>0</v>
      </c>
      <c r="O35" s="94">
        <f t="shared" si="6"/>
        <v>21</v>
      </c>
      <c r="P35" s="94"/>
      <c r="Q35" s="94"/>
      <c r="R35" s="94">
        <f t="shared" si="7"/>
        <v>21</v>
      </c>
      <c r="T35" s="97"/>
      <c r="V35" s="98"/>
      <c r="AA35" s="20"/>
      <c r="AH35"/>
    </row>
    <row r="36" spans="2:34" x14ac:dyDescent="0.35">
      <c r="B36" s="88" t="s">
        <v>45</v>
      </c>
      <c r="C36" s="89">
        <v>6</v>
      </c>
      <c r="D36" s="90">
        <v>178</v>
      </c>
      <c r="E36" s="91">
        <v>100844916</v>
      </c>
      <c r="F36" s="92" t="s">
        <v>49</v>
      </c>
      <c r="G36" s="87"/>
      <c r="H36" s="88">
        <v>38</v>
      </c>
      <c r="I36" s="87"/>
      <c r="J36" s="88"/>
      <c r="K36" s="87" t="s">
        <v>137</v>
      </c>
      <c r="L36" s="88" t="s">
        <v>137</v>
      </c>
      <c r="M36" s="88">
        <f t="shared" si="4"/>
        <v>38</v>
      </c>
      <c r="N36" s="88">
        <f t="shared" si="5"/>
        <v>0</v>
      </c>
      <c r="O36" s="88">
        <f t="shared" si="6"/>
        <v>19</v>
      </c>
      <c r="P36" s="88"/>
      <c r="Q36" s="88"/>
      <c r="R36" s="88">
        <f t="shared" si="7"/>
        <v>19</v>
      </c>
      <c r="T36" s="93"/>
      <c r="U36" s="93"/>
      <c r="V36" s="93"/>
      <c r="AA36" s="20"/>
      <c r="AH36"/>
    </row>
    <row r="37" spans="2:34" x14ac:dyDescent="0.35">
      <c r="B37" s="94" t="s">
        <v>66</v>
      </c>
      <c r="C37" s="95">
        <v>6</v>
      </c>
      <c r="D37" s="95">
        <v>237</v>
      </c>
      <c r="E37" s="96">
        <v>100846431</v>
      </c>
      <c r="F37" s="96" t="s">
        <v>81</v>
      </c>
      <c r="G37" s="95"/>
      <c r="H37" s="94">
        <v>43</v>
      </c>
      <c r="I37" s="95"/>
      <c r="J37" s="94"/>
      <c r="K37" s="95" t="s">
        <v>137</v>
      </c>
      <c r="L37" s="94" t="s">
        <v>137</v>
      </c>
      <c r="M37" s="94">
        <f t="shared" si="4"/>
        <v>43</v>
      </c>
      <c r="N37" s="94">
        <f t="shared" si="5"/>
        <v>0</v>
      </c>
      <c r="O37" s="94">
        <f t="shared" si="6"/>
        <v>22</v>
      </c>
      <c r="P37" s="94"/>
      <c r="Q37" s="94"/>
      <c r="R37" s="94">
        <f t="shared" si="7"/>
        <v>22</v>
      </c>
      <c r="T37" s="97"/>
      <c r="V37" s="98"/>
      <c r="AA37" s="20"/>
      <c r="AH37"/>
    </row>
    <row r="38" spans="2:34" x14ac:dyDescent="0.35">
      <c r="B38" s="88" t="s">
        <v>69</v>
      </c>
      <c r="C38" s="89">
        <v>6</v>
      </c>
      <c r="D38" s="90">
        <v>603</v>
      </c>
      <c r="E38" s="91">
        <v>100841097</v>
      </c>
      <c r="F38" s="92" t="s">
        <v>76</v>
      </c>
      <c r="G38" s="87"/>
      <c r="H38" s="88">
        <v>55</v>
      </c>
      <c r="I38" s="87"/>
      <c r="J38" s="88"/>
      <c r="K38" s="87" t="s">
        <v>137</v>
      </c>
      <c r="L38" s="88" t="s">
        <v>137</v>
      </c>
      <c r="M38" s="88">
        <f t="shared" si="4"/>
        <v>55</v>
      </c>
      <c r="N38" s="88">
        <f t="shared" si="5"/>
        <v>0</v>
      </c>
      <c r="O38" s="88">
        <f t="shared" si="6"/>
        <v>28</v>
      </c>
      <c r="P38" s="88"/>
      <c r="Q38" s="88"/>
      <c r="R38" s="88">
        <f t="shared" si="7"/>
        <v>28</v>
      </c>
      <c r="T38" s="93"/>
      <c r="U38" s="93"/>
      <c r="V38" s="93"/>
      <c r="AA38" s="20"/>
      <c r="AH38"/>
    </row>
    <row r="39" spans="2:34" x14ac:dyDescent="0.35">
      <c r="B39" s="94" t="s">
        <v>47</v>
      </c>
      <c r="C39" s="95">
        <v>6</v>
      </c>
      <c r="D39" s="95">
        <v>134</v>
      </c>
      <c r="E39" s="96">
        <v>100842011</v>
      </c>
      <c r="F39" s="96" t="s">
        <v>48</v>
      </c>
      <c r="G39" s="95"/>
      <c r="H39" s="94">
        <v>16</v>
      </c>
      <c r="I39" s="95"/>
      <c r="J39" s="94"/>
      <c r="K39" s="95" t="s">
        <v>137</v>
      </c>
      <c r="L39" s="94" t="s">
        <v>137</v>
      </c>
      <c r="M39" s="94">
        <f t="shared" si="4"/>
        <v>16</v>
      </c>
      <c r="N39" s="94">
        <f t="shared" si="5"/>
        <v>0</v>
      </c>
      <c r="O39" s="94">
        <f t="shared" si="6"/>
        <v>8</v>
      </c>
      <c r="P39" s="94"/>
      <c r="Q39" s="94"/>
      <c r="R39" s="94">
        <f t="shared" si="7"/>
        <v>8</v>
      </c>
      <c r="T39" s="97"/>
      <c r="V39" s="98"/>
      <c r="AA39" s="20"/>
      <c r="AH39"/>
    </row>
    <row r="40" spans="2:34" x14ac:dyDescent="0.35">
      <c r="B40" s="115" t="s">
        <v>66</v>
      </c>
      <c r="C40" s="116">
        <v>6</v>
      </c>
      <c r="D40" s="117">
        <v>273</v>
      </c>
      <c r="E40" s="118">
        <v>100844558</v>
      </c>
      <c r="F40" s="119" t="s">
        <v>82</v>
      </c>
      <c r="G40" s="120"/>
      <c r="H40" s="115" t="s">
        <v>153</v>
      </c>
      <c r="I40" s="120"/>
      <c r="J40" s="115"/>
      <c r="K40" s="120" t="s">
        <v>137</v>
      </c>
      <c r="L40" s="115" t="s">
        <v>137</v>
      </c>
      <c r="M40" s="115">
        <f t="shared" si="4"/>
        <v>0</v>
      </c>
      <c r="N40" s="115">
        <f t="shared" si="5"/>
        <v>0</v>
      </c>
      <c r="O40" s="115">
        <f t="shared" si="6"/>
        <v>0</v>
      </c>
      <c r="P40" s="115"/>
      <c r="Q40" s="115"/>
      <c r="R40" s="115">
        <f t="shared" si="7"/>
        <v>0</v>
      </c>
      <c r="T40" s="93"/>
      <c r="U40" s="93"/>
      <c r="V40" s="93"/>
      <c r="AA40" s="20"/>
      <c r="AH40"/>
    </row>
    <row r="41" spans="2:34" x14ac:dyDescent="0.35">
      <c r="B41" s="94" t="s">
        <v>66</v>
      </c>
      <c r="C41" s="95">
        <v>6</v>
      </c>
      <c r="D41" s="95">
        <v>386</v>
      </c>
      <c r="E41" s="96">
        <v>100842737</v>
      </c>
      <c r="F41" s="96" t="s">
        <v>83</v>
      </c>
      <c r="G41" s="95"/>
      <c r="H41" s="94">
        <v>78</v>
      </c>
      <c r="I41" s="95"/>
      <c r="J41" s="94"/>
      <c r="K41" s="95" t="s">
        <v>137</v>
      </c>
      <c r="L41" s="94" t="s">
        <v>137</v>
      </c>
      <c r="M41" s="94">
        <f t="shared" si="4"/>
        <v>78</v>
      </c>
      <c r="N41" s="94">
        <f t="shared" si="5"/>
        <v>0</v>
      </c>
      <c r="O41" s="94">
        <f t="shared" si="6"/>
        <v>39</v>
      </c>
      <c r="P41" s="94"/>
      <c r="Q41" s="94"/>
      <c r="R41" s="94">
        <f t="shared" si="7"/>
        <v>20</v>
      </c>
      <c r="T41" s="97"/>
      <c r="V41" s="98"/>
      <c r="AA41" s="20"/>
      <c r="AH41"/>
    </row>
    <row r="42" spans="2:34" x14ac:dyDescent="0.35">
      <c r="B42" s="88" t="s">
        <v>45</v>
      </c>
      <c r="C42" s="89">
        <v>6</v>
      </c>
      <c r="D42" s="90">
        <v>157</v>
      </c>
      <c r="E42" s="91">
        <v>100842095</v>
      </c>
      <c r="F42" s="92" t="s">
        <v>50</v>
      </c>
      <c r="G42" s="87"/>
      <c r="H42" s="88">
        <v>60</v>
      </c>
      <c r="I42" s="87"/>
      <c r="J42" s="88"/>
      <c r="K42" s="87" t="s">
        <v>137</v>
      </c>
      <c r="L42" s="88" t="s">
        <v>137</v>
      </c>
      <c r="M42" s="88">
        <f t="shared" si="4"/>
        <v>60</v>
      </c>
      <c r="N42" s="88">
        <f t="shared" si="5"/>
        <v>0</v>
      </c>
      <c r="O42" s="88">
        <f t="shared" si="6"/>
        <v>30</v>
      </c>
      <c r="P42" s="88"/>
      <c r="Q42" s="88"/>
      <c r="R42" s="88">
        <f t="shared" si="7"/>
        <v>15</v>
      </c>
      <c r="T42" s="93"/>
      <c r="U42" s="93"/>
      <c r="V42" s="93"/>
      <c r="AA42" s="20"/>
      <c r="AH42"/>
    </row>
    <row r="43" spans="2:34" x14ac:dyDescent="0.35">
      <c r="B43" s="94" t="s">
        <v>66</v>
      </c>
      <c r="C43" s="95">
        <v>5</v>
      </c>
      <c r="D43" s="95">
        <v>501</v>
      </c>
      <c r="E43" s="96">
        <v>100838860</v>
      </c>
      <c r="F43" s="96" t="s">
        <v>72</v>
      </c>
      <c r="G43" s="95"/>
      <c r="H43" s="94">
        <v>82</v>
      </c>
      <c r="I43" s="95"/>
      <c r="J43" s="94"/>
      <c r="K43" s="95" t="s">
        <v>137</v>
      </c>
      <c r="L43" s="94" t="s">
        <v>137</v>
      </c>
      <c r="M43" s="94">
        <f t="shared" si="4"/>
        <v>82</v>
      </c>
      <c r="N43" s="94">
        <f t="shared" si="5"/>
        <v>0</v>
      </c>
      <c r="O43" s="94">
        <f t="shared" si="6"/>
        <v>41</v>
      </c>
      <c r="P43" s="94"/>
      <c r="Q43" s="94"/>
      <c r="R43" s="94">
        <f t="shared" si="7"/>
        <v>21</v>
      </c>
      <c r="T43" s="97"/>
      <c r="V43" s="98"/>
      <c r="AA43" s="20"/>
      <c r="AH43"/>
    </row>
    <row r="44" spans="2:34" x14ac:dyDescent="0.35">
      <c r="B44" s="88" t="s">
        <v>66</v>
      </c>
      <c r="C44" s="89">
        <v>4</v>
      </c>
      <c r="D44" s="90">
        <v>356</v>
      </c>
      <c r="E44" s="91">
        <v>100842522</v>
      </c>
      <c r="F44" s="92" t="s">
        <v>68</v>
      </c>
      <c r="G44" s="87"/>
      <c r="H44" s="88">
        <v>83</v>
      </c>
      <c r="I44" s="87"/>
      <c r="J44" s="88"/>
      <c r="K44" s="87" t="s">
        <v>137</v>
      </c>
      <c r="L44" s="88" t="s">
        <v>137</v>
      </c>
      <c r="M44" s="88">
        <f t="shared" si="4"/>
        <v>83</v>
      </c>
      <c r="N44" s="88">
        <f t="shared" si="5"/>
        <v>0</v>
      </c>
      <c r="O44" s="88">
        <f t="shared" si="6"/>
        <v>42</v>
      </c>
      <c r="P44" s="88"/>
      <c r="Q44" s="88"/>
      <c r="R44" s="88">
        <f t="shared" si="7"/>
        <v>21</v>
      </c>
      <c r="T44" s="93"/>
      <c r="U44" s="93"/>
      <c r="V44" s="93"/>
      <c r="AA44" s="20"/>
      <c r="AH44"/>
    </row>
    <row r="45" spans="2:34" x14ac:dyDescent="0.35">
      <c r="B45" s="94" t="s">
        <v>66</v>
      </c>
      <c r="C45" s="95">
        <v>6</v>
      </c>
      <c r="D45" s="95">
        <v>641</v>
      </c>
      <c r="E45" s="96">
        <v>100840844</v>
      </c>
      <c r="F45" s="96" t="s">
        <v>84</v>
      </c>
      <c r="G45" s="95"/>
      <c r="H45" s="94">
        <v>73</v>
      </c>
      <c r="I45" s="95"/>
      <c r="J45" s="94"/>
      <c r="K45" s="95" t="s">
        <v>137</v>
      </c>
      <c r="L45" s="94" t="s">
        <v>137</v>
      </c>
      <c r="M45" s="94">
        <f t="shared" si="4"/>
        <v>73</v>
      </c>
      <c r="N45" s="94">
        <f t="shared" si="5"/>
        <v>0</v>
      </c>
      <c r="O45" s="94">
        <f t="shared" si="6"/>
        <v>37</v>
      </c>
      <c r="P45" s="94"/>
      <c r="Q45" s="94"/>
      <c r="R45" s="94">
        <f t="shared" si="7"/>
        <v>19</v>
      </c>
      <c r="T45" s="97"/>
      <c r="V45" s="98"/>
      <c r="AA45" s="20"/>
      <c r="AH45"/>
    </row>
    <row r="46" spans="2:34" x14ac:dyDescent="0.35">
      <c r="B46" s="88" t="s">
        <v>66</v>
      </c>
      <c r="C46" s="89">
        <v>6</v>
      </c>
      <c r="D46" s="90">
        <v>376</v>
      </c>
      <c r="E46" s="91">
        <v>100846401</v>
      </c>
      <c r="F46" s="92" t="s">
        <v>85</v>
      </c>
      <c r="G46" s="87"/>
      <c r="H46" s="88">
        <v>60</v>
      </c>
      <c r="I46" s="87"/>
      <c r="J46" s="88"/>
      <c r="K46" s="87" t="s">
        <v>137</v>
      </c>
      <c r="L46" s="88" t="s">
        <v>137</v>
      </c>
      <c r="M46" s="88">
        <f t="shared" si="4"/>
        <v>60</v>
      </c>
      <c r="N46" s="88">
        <f t="shared" si="5"/>
        <v>0</v>
      </c>
      <c r="O46" s="88">
        <f t="shared" si="6"/>
        <v>30</v>
      </c>
      <c r="P46" s="88"/>
      <c r="Q46" s="88"/>
      <c r="R46" s="88">
        <f t="shared" si="7"/>
        <v>15</v>
      </c>
      <c r="T46" s="93"/>
      <c r="U46" s="93"/>
      <c r="V46" s="93"/>
      <c r="AA46" s="20"/>
      <c r="AH46"/>
    </row>
    <row r="47" spans="2:34" x14ac:dyDescent="0.35">
      <c r="B47" s="94" t="s">
        <v>66</v>
      </c>
      <c r="C47" s="95">
        <v>5</v>
      </c>
      <c r="D47" s="95">
        <v>617</v>
      </c>
      <c r="E47" s="96">
        <v>100849647</v>
      </c>
      <c r="F47" s="96" t="s">
        <v>73</v>
      </c>
      <c r="G47" s="95"/>
      <c r="H47" s="94" t="s">
        <v>152</v>
      </c>
      <c r="I47" s="95"/>
      <c r="J47" s="94"/>
      <c r="K47" s="95" t="s">
        <v>137</v>
      </c>
      <c r="L47" s="94" t="s">
        <v>137</v>
      </c>
      <c r="M47" s="94">
        <f t="shared" si="4"/>
        <v>0</v>
      </c>
      <c r="N47" s="94">
        <f t="shared" si="5"/>
        <v>0</v>
      </c>
      <c r="O47" s="94">
        <f t="shared" si="6"/>
        <v>0</v>
      </c>
      <c r="P47" s="94"/>
      <c r="Q47" s="94"/>
      <c r="R47" s="94">
        <f t="shared" si="7"/>
        <v>0</v>
      </c>
      <c r="T47" s="97"/>
      <c r="V47" s="98"/>
      <c r="AA47" s="20"/>
      <c r="AH47"/>
    </row>
    <row r="48" spans="2:34" x14ac:dyDescent="0.35">
      <c r="B48" s="88" t="s">
        <v>66</v>
      </c>
      <c r="C48" s="89">
        <v>6</v>
      </c>
      <c r="D48" s="90">
        <v>265</v>
      </c>
      <c r="E48" s="91">
        <v>100847622</v>
      </c>
      <c r="F48" s="92" t="s">
        <v>86</v>
      </c>
      <c r="G48" s="87"/>
      <c r="H48" s="88">
        <v>19</v>
      </c>
      <c r="I48" s="87"/>
      <c r="J48" s="88"/>
      <c r="K48" s="87" t="s">
        <v>137</v>
      </c>
      <c r="L48" s="88" t="s">
        <v>137</v>
      </c>
      <c r="M48" s="88">
        <f t="shared" si="4"/>
        <v>19</v>
      </c>
      <c r="N48" s="88">
        <f t="shared" si="5"/>
        <v>0</v>
      </c>
      <c r="O48" s="88">
        <f t="shared" si="6"/>
        <v>10</v>
      </c>
      <c r="P48" s="88"/>
      <c r="Q48" s="88"/>
      <c r="R48" s="88">
        <f t="shared" si="7"/>
        <v>10</v>
      </c>
      <c r="T48" s="93"/>
      <c r="U48" s="93"/>
      <c r="V48" s="93"/>
      <c r="AA48" s="20"/>
      <c r="AH48"/>
    </row>
    <row r="49" spans="2:34" x14ac:dyDescent="0.35">
      <c r="B49" s="94" t="s">
        <v>45</v>
      </c>
      <c r="C49" s="95">
        <v>6</v>
      </c>
      <c r="D49" s="95">
        <v>186</v>
      </c>
      <c r="E49" s="96">
        <v>100848595</v>
      </c>
      <c r="F49" s="96" t="s">
        <v>51</v>
      </c>
      <c r="G49" s="95"/>
      <c r="H49" s="94">
        <v>51</v>
      </c>
      <c r="I49" s="95"/>
      <c r="J49" s="94"/>
      <c r="K49" s="95" t="s">
        <v>137</v>
      </c>
      <c r="L49" s="94" t="s">
        <v>137</v>
      </c>
      <c r="M49" s="94">
        <f t="shared" si="4"/>
        <v>51</v>
      </c>
      <c r="N49" s="94">
        <f t="shared" si="5"/>
        <v>0</v>
      </c>
      <c r="O49" s="94">
        <f t="shared" si="6"/>
        <v>26</v>
      </c>
      <c r="P49" s="94"/>
      <c r="Q49" s="94"/>
      <c r="R49" s="94">
        <f t="shared" si="7"/>
        <v>26</v>
      </c>
      <c r="T49" s="97"/>
      <c r="V49" s="98"/>
      <c r="AA49" s="20"/>
      <c r="AH49"/>
    </row>
    <row r="50" spans="2:34" x14ac:dyDescent="0.35">
      <c r="B50" s="88" t="s">
        <v>66</v>
      </c>
      <c r="C50" s="89">
        <v>5</v>
      </c>
      <c r="D50" s="90">
        <v>492</v>
      </c>
      <c r="E50" s="91">
        <v>100840977</v>
      </c>
      <c r="F50" s="92" t="s">
        <v>74</v>
      </c>
      <c r="G50" s="87"/>
      <c r="H50" s="88">
        <v>85</v>
      </c>
      <c r="I50" s="87"/>
      <c r="J50" s="88"/>
      <c r="K50" s="87" t="s">
        <v>137</v>
      </c>
      <c r="L50" s="88" t="s">
        <v>137</v>
      </c>
      <c r="M50" s="88">
        <f t="shared" si="4"/>
        <v>85</v>
      </c>
      <c r="N50" s="88">
        <f t="shared" si="5"/>
        <v>0</v>
      </c>
      <c r="O50" s="88">
        <f t="shared" si="6"/>
        <v>43</v>
      </c>
      <c r="P50" s="88"/>
      <c r="Q50" s="88"/>
      <c r="R50" s="88">
        <f t="shared" si="7"/>
        <v>22</v>
      </c>
      <c r="T50" s="93"/>
      <c r="U50" s="93"/>
      <c r="V50" s="93"/>
      <c r="AA50" s="20"/>
      <c r="AH50"/>
    </row>
    <row r="51" spans="2:34" x14ac:dyDescent="0.35">
      <c r="B51" s="94" t="s">
        <v>66</v>
      </c>
      <c r="C51" s="95">
        <v>6</v>
      </c>
      <c r="D51" s="95">
        <v>456</v>
      </c>
      <c r="E51" s="96">
        <v>100841549</v>
      </c>
      <c r="F51" s="96" t="s">
        <v>87</v>
      </c>
      <c r="G51" s="95"/>
      <c r="H51" s="94">
        <v>65</v>
      </c>
      <c r="I51" s="95"/>
      <c r="J51" s="94"/>
      <c r="K51" s="95" t="s">
        <v>137</v>
      </c>
      <c r="L51" s="94" t="s">
        <v>137</v>
      </c>
      <c r="M51" s="94">
        <f t="shared" si="4"/>
        <v>65</v>
      </c>
      <c r="N51" s="94">
        <f t="shared" si="5"/>
        <v>0</v>
      </c>
      <c r="O51" s="94">
        <f t="shared" si="6"/>
        <v>33</v>
      </c>
      <c r="P51" s="94"/>
      <c r="Q51" s="94"/>
      <c r="R51" s="94">
        <f t="shared" si="7"/>
        <v>17</v>
      </c>
      <c r="T51" s="97"/>
      <c r="V51" s="98"/>
      <c r="AA51" s="20"/>
      <c r="AH51"/>
    </row>
    <row r="52" spans="2:34" x14ac:dyDescent="0.35">
      <c r="B52" s="88" t="s">
        <v>69</v>
      </c>
      <c r="C52" s="89">
        <v>5</v>
      </c>
      <c r="D52" s="90">
        <v>496</v>
      </c>
      <c r="E52" s="91">
        <v>100840142</v>
      </c>
      <c r="F52" s="92" t="s">
        <v>70</v>
      </c>
      <c r="G52" s="87"/>
      <c r="H52" s="88">
        <v>100</v>
      </c>
      <c r="I52" s="87"/>
      <c r="J52" s="88"/>
      <c r="K52" s="87" t="s">
        <v>137</v>
      </c>
      <c r="L52" s="88" t="s">
        <v>137</v>
      </c>
      <c r="M52" s="88">
        <f t="shared" si="4"/>
        <v>100</v>
      </c>
      <c r="N52" s="88">
        <f t="shared" si="5"/>
        <v>0</v>
      </c>
      <c r="O52" s="88">
        <f t="shared" si="6"/>
        <v>50</v>
      </c>
      <c r="P52" s="88"/>
      <c r="Q52" s="88"/>
      <c r="R52" s="88">
        <f t="shared" si="7"/>
        <v>25</v>
      </c>
      <c r="T52" s="93"/>
      <c r="U52" s="93"/>
      <c r="V52" s="93"/>
      <c r="AA52" s="20"/>
      <c r="AH52"/>
    </row>
    <row r="53" spans="2:34" x14ac:dyDescent="0.35">
      <c r="B53" s="94" t="s">
        <v>66</v>
      </c>
      <c r="C53" s="95">
        <v>5</v>
      </c>
      <c r="D53" s="95">
        <v>368</v>
      </c>
      <c r="E53" s="96">
        <v>100846013</v>
      </c>
      <c r="F53" s="96" t="s">
        <v>75</v>
      </c>
      <c r="G53" s="95"/>
      <c r="H53" s="94">
        <v>89</v>
      </c>
      <c r="I53" s="95"/>
      <c r="J53" s="94"/>
      <c r="K53" s="95" t="s">
        <v>137</v>
      </c>
      <c r="L53" s="94" t="s">
        <v>137</v>
      </c>
      <c r="M53" s="94">
        <f t="shared" si="4"/>
        <v>89</v>
      </c>
      <c r="N53" s="94">
        <f t="shared" si="5"/>
        <v>0</v>
      </c>
      <c r="O53" s="94">
        <f t="shared" si="6"/>
        <v>45</v>
      </c>
      <c r="P53" s="94"/>
      <c r="Q53" s="94"/>
      <c r="R53" s="94">
        <f t="shared" si="7"/>
        <v>23</v>
      </c>
      <c r="T53" s="97"/>
      <c r="V53" s="98"/>
      <c r="AA53" s="20"/>
      <c r="AH53"/>
    </row>
    <row r="54" spans="2:34" x14ac:dyDescent="0.35">
      <c r="B54" s="88" t="s">
        <v>45</v>
      </c>
      <c r="C54" s="89">
        <v>6</v>
      </c>
      <c r="D54" s="90">
        <v>146</v>
      </c>
      <c r="E54" s="91">
        <v>100846019</v>
      </c>
      <c r="F54" s="92" t="s">
        <v>52</v>
      </c>
      <c r="G54" s="87"/>
      <c r="H54" s="88">
        <v>60</v>
      </c>
      <c r="I54" s="87"/>
      <c r="J54" s="88"/>
      <c r="K54" s="87" t="s">
        <v>137</v>
      </c>
      <c r="L54" s="88" t="s">
        <v>137</v>
      </c>
      <c r="M54" s="88">
        <f t="shared" si="4"/>
        <v>60</v>
      </c>
      <c r="N54" s="88">
        <f t="shared" si="5"/>
        <v>0</v>
      </c>
      <c r="O54" s="88">
        <f t="shared" si="6"/>
        <v>30</v>
      </c>
      <c r="P54" s="88"/>
      <c r="Q54" s="88"/>
      <c r="R54" s="88">
        <f t="shared" si="7"/>
        <v>15</v>
      </c>
      <c r="T54" s="93"/>
      <c r="U54" s="93"/>
      <c r="V54" s="93"/>
      <c r="AA54" s="20"/>
      <c r="AH54"/>
    </row>
    <row r="55" spans="2:34" x14ac:dyDescent="0.35">
      <c r="B55" s="94" t="s">
        <v>69</v>
      </c>
      <c r="C55" s="95">
        <v>5</v>
      </c>
      <c r="D55" s="95">
        <v>518</v>
      </c>
      <c r="E55" s="96">
        <v>100848156</v>
      </c>
      <c r="F55" s="96" t="s">
        <v>71</v>
      </c>
      <c r="G55" s="95"/>
      <c r="H55" s="94">
        <v>84</v>
      </c>
      <c r="I55" s="95"/>
      <c r="J55" s="94"/>
      <c r="K55" s="95" t="s">
        <v>137</v>
      </c>
      <c r="L55" s="94" t="s">
        <v>137</v>
      </c>
      <c r="M55" s="94">
        <f t="shared" si="4"/>
        <v>84</v>
      </c>
      <c r="N55" s="94">
        <f t="shared" si="5"/>
        <v>0</v>
      </c>
      <c r="O55" s="94">
        <f t="shared" si="6"/>
        <v>42</v>
      </c>
      <c r="P55" s="94"/>
      <c r="Q55" s="94"/>
      <c r="R55" s="94">
        <f t="shared" si="7"/>
        <v>21</v>
      </c>
      <c r="T55" s="97"/>
      <c r="V55" s="98"/>
      <c r="AA55" s="20"/>
      <c r="AH55"/>
    </row>
    <row r="56" spans="2:34" x14ac:dyDescent="0.35">
      <c r="B56" s="88" t="s">
        <v>69</v>
      </c>
      <c r="C56" s="89">
        <v>6</v>
      </c>
      <c r="D56" s="90">
        <v>214</v>
      </c>
      <c r="E56" s="91">
        <v>100849351</v>
      </c>
      <c r="F56" s="92" t="s">
        <v>77</v>
      </c>
      <c r="G56" s="87"/>
      <c r="H56" s="88">
        <v>16</v>
      </c>
      <c r="I56" s="87"/>
      <c r="J56" s="88"/>
      <c r="K56" s="87" t="s">
        <v>137</v>
      </c>
      <c r="L56" s="88" t="s">
        <v>137</v>
      </c>
      <c r="M56" s="88">
        <f t="shared" si="4"/>
        <v>16</v>
      </c>
      <c r="N56" s="88">
        <f t="shared" si="5"/>
        <v>0</v>
      </c>
      <c r="O56" s="88">
        <f t="shared" si="6"/>
        <v>8</v>
      </c>
      <c r="P56" s="88"/>
      <c r="Q56" s="88"/>
      <c r="R56" s="88">
        <f t="shared" si="7"/>
        <v>8</v>
      </c>
      <c r="T56" s="93"/>
      <c r="U56" s="93"/>
      <c r="V56" s="93"/>
      <c r="AA56" s="20"/>
      <c r="AH56"/>
    </row>
    <row r="57" spans="2:34" x14ac:dyDescent="0.35">
      <c r="B57" s="94" t="s">
        <v>66</v>
      </c>
      <c r="C57" s="95">
        <v>6</v>
      </c>
      <c r="D57" s="95">
        <v>418</v>
      </c>
      <c r="E57" s="96">
        <v>100840706</v>
      </c>
      <c r="F57" s="96" t="s">
        <v>88</v>
      </c>
      <c r="G57" s="95"/>
      <c r="H57" s="94">
        <v>86</v>
      </c>
      <c r="I57" s="95"/>
      <c r="J57" s="94"/>
      <c r="K57" s="95" t="s">
        <v>137</v>
      </c>
      <c r="L57" s="94" t="s">
        <v>137</v>
      </c>
      <c r="M57" s="94">
        <f t="shared" si="4"/>
        <v>86</v>
      </c>
      <c r="N57" s="94">
        <f t="shared" si="5"/>
        <v>0</v>
      </c>
      <c r="O57" s="94">
        <f t="shared" si="6"/>
        <v>43</v>
      </c>
      <c r="P57" s="94"/>
      <c r="Q57" s="94"/>
      <c r="R57" s="94">
        <f t="shared" si="7"/>
        <v>22</v>
      </c>
      <c r="S57" s="18">
        <v>48</v>
      </c>
      <c r="T57" s="97"/>
      <c r="V57" s="98"/>
      <c r="AA57" s="20"/>
      <c r="AH57"/>
    </row>
    <row r="59" spans="2:34" x14ac:dyDescent="0.35">
      <c r="F59" s="108" t="s">
        <v>151</v>
      </c>
      <c r="H59" s="109" t="s">
        <v>130</v>
      </c>
      <c r="I59" s="109"/>
      <c r="J59" s="109" t="s">
        <v>132</v>
      </c>
    </row>
    <row r="60" spans="2:34" x14ac:dyDescent="0.35">
      <c r="F60" t="s">
        <v>144</v>
      </c>
      <c r="H60" s="110">
        <f>AVERAGE(H8:H57)</f>
        <v>56.822222222222223</v>
      </c>
      <c r="I60" s="110"/>
      <c r="J60" s="110" t="e">
        <f t="shared" ref="J60" si="8">AVERAGE(J8:J57)</f>
        <v>#DIV/0!</v>
      </c>
    </row>
    <row r="61" spans="2:34" x14ac:dyDescent="0.35">
      <c r="F61" t="s">
        <v>145</v>
      </c>
      <c r="H61" s="111">
        <f>_xlfn.STDEV.P(H8:H57)</f>
        <v>25.797750882921633</v>
      </c>
      <c r="I61" s="111"/>
      <c r="J61" s="111" t="e">
        <f t="shared" ref="J61" si="9">_xlfn.STDEV.P(J8:J57)</f>
        <v>#DIV/0!</v>
      </c>
    </row>
    <row r="62" spans="2:34" x14ac:dyDescent="0.35">
      <c r="F62" t="s">
        <v>146</v>
      </c>
      <c r="H62">
        <f>COUNTIF(H8:H57,"&gt;=60")</f>
        <v>23</v>
      </c>
      <c r="J62">
        <f t="shared" ref="J62" si="10">COUNTIF(J8:J57,"&gt;=60")</f>
        <v>0</v>
      </c>
    </row>
    <row r="63" spans="2:34" x14ac:dyDescent="0.35">
      <c r="F63" t="s">
        <v>147</v>
      </c>
      <c r="H63">
        <f>H66-H62-H64-H65</f>
        <v>14</v>
      </c>
      <c r="J63">
        <f t="shared" ref="J63" si="11">J66-J62-J64-J65</f>
        <v>0</v>
      </c>
    </row>
    <row r="64" spans="2:34" x14ac:dyDescent="0.35">
      <c r="F64" t="s">
        <v>148</v>
      </c>
      <c r="H64">
        <f>COUNTIF(H8:H57,"&lt;30")</f>
        <v>8</v>
      </c>
      <c r="J64">
        <f t="shared" ref="J64" si="12">COUNTIF(J8:J57,"&lt;30")</f>
        <v>0</v>
      </c>
    </row>
    <row r="65" spans="6:10" x14ac:dyDescent="0.35">
      <c r="F65" t="s">
        <v>149</v>
      </c>
      <c r="H65">
        <f>COUNTIF(H8:H57,"=NC")</f>
        <v>4</v>
      </c>
      <c r="J65">
        <f t="shared" ref="J65" si="13">COUNTIF(J8:J57,"=NC")</f>
        <v>0</v>
      </c>
    </row>
    <row r="66" spans="6:10" x14ac:dyDescent="0.35">
      <c r="F66" t="s">
        <v>150</v>
      </c>
      <c r="H66">
        <v>49</v>
      </c>
      <c r="I66" s="18"/>
      <c r="J66" s="18"/>
    </row>
  </sheetData>
  <sortState ref="A31:AA57">
    <sortCondition ref="F31:F57"/>
  </sortState>
  <dataConsolidate/>
  <phoneticPr fontId="0" type="noConversion"/>
  <conditionalFormatting sqref="R8 R10 R12 R14 R16 R18 R20 R22 R26 R28 R30 R32 R34 R36 R38 R40 R42 R44 R46 R48 R50 R52 R54 R56">
    <cfRule type="cellIs" dxfId="528" priority="14" operator="lessThan">
      <formula>50</formula>
    </cfRule>
    <cfRule type="cellIs" dxfId="527" priority="15" operator="greaterThanOrEqual">
      <formula>50</formula>
    </cfRule>
  </conditionalFormatting>
  <conditionalFormatting sqref="L8:O8 L10:O10 L12:O12 L14:O14 L16:O16 L18:O18 L20:O20 L22:O22 L26:O26 L28:O28 L30:O30 L32:O32 L34:O34 L36:O36 L38:O38 L40:O40 L42:O42 L44:O44 L46:O46 L48:O48 L50:O50 L52:O52 L54:O54 L56:O56 Q8 Q10 Q12 Q14 Q16 Q18 Q20 Q22 Q26 Q28 Q30 Q32 Q34 Q36 Q38 Q40 Q42 Q44 Q46 Q48 Q50 Q52 Q54 Q56 H8 H10 H12 H14 H16 H18 H20 H22 H26 H28 H30 H32 H34 H36 H38 H40 H42 H44 H46 H48 H50 H52 H54 H56 J8 J10 J12 J14 J16 J18 J20 J22 J26 J28 J30 J32 J34 J36 J38 J40 J42 J44 J46 J48 J50 J52 J54 J56">
    <cfRule type="cellIs" dxfId="526" priority="11" operator="lessThan">
      <formula>30</formula>
    </cfRule>
    <cfRule type="cellIs" dxfId="525" priority="12" operator="between">
      <formula>30</formula>
      <formula>59</formula>
    </cfRule>
    <cfRule type="cellIs" dxfId="524" priority="13" operator="greaterThanOrEqual">
      <formula>60</formula>
    </cfRule>
  </conditionalFormatting>
  <conditionalFormatting sqref="R9 R11 R13 R15 R17 R19 R21 R23 R25 R27 R29 R31 R33 R35 R37 R39 R41 R43 R45 R47 R49 R51 R53 R55 R57">
    <cfRule type="cellIs" dxfId="523" priority="9" operator="lessThan">
      <formula>50</formula>
    </cfRule>
    <cfRule type="cellIs" dxfId="522" priority="10" operator="greaterThanOrEqual">
      <formula>50</formula>
    </cfRule>
  </conditionalFormatting>
  <conditionalFormatting sqref="L9:O9 L11:O11 L13:O13 L15:O15 L17:O17 L19:O19 L21:O21 L23:O23 L25:O25 L27:O27 L29:O29 L31:O31 L33:O33 L35:O35 L37:O37 L39:O39 L41:O41 L43:O43 L45:O45 L47:O47 L49:O49 L51:O51 L53:O53 L55:O55 L57:O57 Q9 Q11 Q13 Q15 Q17 Q19 Q21 Q23 Q25 Q27 Q29 Q31 Q33 Q35 Q37 Q39 Q41 Q43 Q45 Q47 Q49 Q51 Q53 Q55 Q57 H9 H11 H13 H15 H17 H19 H21 H23 H25 H27 H29 H31 H33 H35 H37 H39 H41 H43 H45 H47 H49 H51 H53 H55 H57 J9 J11 J13 J15 J17 J19 J21 J23 J25 J27 J29 J31 J33 J35 J37 J39 J41 J43 J45 J47 J49 J51 J53 J55 J57">
    <cfRule type="cellIs" dxfId="521" priority="6" operator="lessThan">
      <formula>30</formula>
    </cfRule>
    <cfRule type="cellIs" dxfId="520" priority="7" operator="between">
      <formula>30</formula>
      <formula>59</formula>
    </cfRule>
    <cfRule type="cellIs" dxfId="519" priority="8" operator="greaterThanOrEqual">
      <formula>60</formula>
    </cfRule>
  </conditionalFormatting>
  <conditionalFormatting sqref="R24">
    <cfRule type="cellIs" dxfId="518" priority="4" operator="lessThan">
      <formula>50</formula>
    </cfRule>
    <cfRule type="cellIs" dxfId="517" priority="5" operator="greaterThanOrEqual">
      <formula>50</formula>
    </cfRule>
  </conditionalFormatting>
  <conditionalFormatting sqref="L24:O24 Q24 H24 J24">
    <cfRule type="cellIs" dxfId="516" priority="1" operator="lessThan">
      <formula>30</formula>
    </cfRule>
    <cfRule type="cellIs" dxfId="515" priority="2" operator="between">
      <formula>30</formula>
      <formula>59</formula>
    </cfRule>
    <cfRule type="cellIs" dxfId="514" priority="3" operator="greaterThanOrEqual">
      <formula>60</formula>
    </cfRule>
  </conditionalFormatting>
  <pageMargins left="0.511811024" right="0.511811024" top="0.78740157499999996" bottom="0.78740157499999996" header="0.31496062000000002" footer="0.31496062000000002"/>
  <pageSetup orientation="portrait" r:id="rId1"/>
  <drawing r:id="rId2"/>
  <legacyDrawing r:id="rId3"/>
  <controls>
    <mc:AlternateContent xmlns:mc="http://schemas.openxmlformats.org/markup-compatibility/2006">
      <mc:Choice Requires="x14">
        <control shapeId="1025" r:id="rId4" name="TrinStgClass1">
          <controlPr defaultSize="0" autoLine="0" r:id="rId5">
            <anchor moveWithCells="1">
              <from>
                <xdr:col>0</xdr:col>
                <xdr:colOff>0</xdr:colOff>
                <xdr:row>0</xdr:row>
                <xdr:rowOff>0</xdr:rowOff>
              </from>
              <to>
                <xdr:col>0</xdr:col>
                <xdr:colOff>12700</xdr:colOff>
                <xdr:row>0</xdr:row>
                <xdr:rowOff>12700</xdr:rowOff>
              </to>
            </anchor>
          </controlPr>
        </control>
      </mc:Choice>
      <mc:Fallback>
        <control shapeId="1025" r:id="rId4" name="TrinStgClass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2"/>
  <dimension ref="A2:DK55"/>
  <sheetViews>
    <sheetView tabSelected="1" zoomScale="145" zoomScaleNormal="145" workbookViewId="0">
      <pane xSplit="8" ySplit="7" topLeftCell="BB18" activePane="bottomRight" state="frozen"/>
      <selection pane="topRight" activeCell="H1" sqref="H1"/>
      <selection pane="bottomLeft" activeCell="A8" sqref="A8"/>
      <selection pane="bottomRight" activeCell="A8" sqref="A8:XFD23"/>
    </sheetView>
  </sheetViews>
  <sheetFormatPr defaultColWidth="9.1796875" defaultRowHeight="14.5" x14ac:dyDescent="0.35"/>
  <cols>
    <col min="1" max="1" width="1.453125" customWidth="1"/>
    <col min="2" max="2" width="6.1796875" style="19" bestFit="1" customWidth="1"/>
    <col min="3" max="3" width="4.7265625" style="19" bestFit="1" customWidth="1"/>
    <col min="4" max="4" width="9.453125" style="19" bestFit="1" customWidth="1"/>
    <col min="5" max="5" width="8.81640625" hidden="1" customWidth="1"/>
    <col min="6" max="6" width="43.81640625" style="22" customWidth="1"/>
    <col min="7" max="7" width="1" style="22" customWidth="1"/>
    <col min="8" max="8" width="0.81640625" style="22" customWidth="1"/>
    <col min="9" max="9" width="1.81640625" style="25" customWidth="1"/>
    <col min="10" max="24" width="2.7265625" style="24" customWidth="1"/>
    <col min="25" max="25" width="2.7265625" style="19" customWidth="1"/>
    <col min="26" max="26" width="1.81640625" customWidth="1"/>
    <col min="27" max="41" width="2.7265625" customWidth="1"/>
    <col min="42" max="42" width="3" bestFit="1" customWidth="1"/>
    <col min="43" max="43" width="1.81640625" customWidth="1"/>
    <col min="44" max="44" width="2.7265625" customWidth="1"/>
    <col min="45" max="53" width="2.7265625" style="19" customWidth="1"/>
    <col min="54" max="55" width="2.7265625" customWidth="1"/>
    <col min="56" max="56" width="2.7265625" style="19" customWidth="1"/>
    <col min="57" max="58" width="2.7265625" customWidth="1"/>
    <col min="59" max="59" width="3" bestFit="1" customWidth="1"/>
    <col min="60" max="60" width="1.81640625" customWidth="1"/>
    <col min="61" max="76" width="2.7265625" customWidth="1"/>
    <col min="77" max="77" width="1.7265625" customWidth="1"/>
    <col min="78" max="93" width="2.7265625" customWidth="1"/>
    <col min="94" max="94" width="1.7265625" style="25" customWidth="1"/>
    <col min="95" max="95" width="2.7265625" style="25" customWidth="1"/>
    <col min="96" max="96" width="2.7265625" style="19" customWidth="1"/>
    <col min="97" max="110" width="2.7265625" customWidth="1"/>
    <col min="111" max="111" width="2.1796875" customWidth="1"/>
    <col min="112" max="115" width="14.7265625" customWidth="1"/>
  </cols>
  <sheetData>
    <row r="2" spans="1:115" ht="15.65" customHeight="1" x14ac:dyDescent="0.35">
      <c r="A2" s="8" t="s">
        <v>6</v>
      </c>
      <c r="B2" s="6"/>
      <c r="C2" s="4"/>
      <c r="D2" s="21"/>
      <c r="I2" s="23"/>
      <c r="J2" s="129" t="s">
        <v>7</v>
      </c>
      <c r="K2" s="130"/>
      <c r="L2" s="130"/>
      <c r="M2" s="130"/>
      <c r="N2" s="130"/>
      <c r="O2" s="130"/>
      <c r="P2" s="130"/>
      <c r="Q2" s="130"/>
      <c r="R2" s="130"/>
      <c r="S2" s="131"/>
      <c r="T2" s="132">
        <f>SUM(Aula!B8:B99)</f>
        <v>80</v>
      </c>
      <c r="U2" s="133"/>
    </row>
    <row r="3" spans="1:115" ht="13.15" customHeight="1" x14ac:dyDescent="0.35">
      <c r="A3" s="10" t="s">
        <v>29</v>
      </c>
      <c r="B3" s="6"/>
      <c r="C3" s="4"/>
      <c r="D3" s="4"/>
      <c r="I3" s="26"/>
      <c r="J3" s="129" t="s">
        <v>8</v>
      </c>
      <c r="K3" s="130"/>
      <c r="L3" s="130"/>
      <c r="M3" s="130"/>
      <c r="N3" s="130"/>
      <c r="O3" s="130"/>
      <c r="P3" s="130"/>
      <c r="Q3" s="130"/>
      <c r="R3" s="130"/>
      <c r="S3" s="131"/>
      <c r="T3" s="132">
        <v>80</v>
      </c>
      <c r="U3" s="133"/>
    </row>
    <row r="4" spans="1:115" ht="12.75" customHeight="1" x14ac:dyDescent="0.35">
      <c r="A4" s="10" t="s">
        <v>30</v>
      </c>
      <c r="B4" s="6"/>
      <c r="C4" s="4"/>
      <c r="D4" s="4"/>
      <c r="I4" s="26"/>
      <c r="J4" s="27"/>
      <c r="K4" s="27"/>
      <c r="L4"/>
      <c r="M4"/>
      <c r="N4"/>
      <c r="O4"/>
      <c r="P4"/>
      <c r="Q4" s="27"/>
      <c r="R4" s="27"/>
      <c r="S4"/>
      <c r="T4"/>
      <c r="U4"/>
      <c r="V4"/>
      <c r="W4"/>
      <c r="X4"/>
      <c r="Y4" s="28"/>
      <c r="Z4" s="28"/>
      <c r="AA4" s="28"/>
      <c r="AB4" s="27"/>
      <c r="AC4" s="27"/>
      <c r="AD4" s="34" t="s">
        <v>128</v>
      </c>
    </row>
    <row r="5" spans="1:115" x14ac:dyDescent="0.35">
      <c r="A5" s="10" t="s">
        <v>31</v>
      </c>
      <c r="B5" s="6"/>
      <c r="C5" s="4"/>
      <c r="D5" s="4"/>
      <c r="I5" s="26"/>
      <c r="J5">
        <v>1</v>
      </c>
      <c r="K5">
        <v>2</v>
      </c>
      <c r="L5"/>
      <c r="M5"/>
      <c r="N5"/>
      <c r="O5"/>
      <c r="P5"/>
      <c r="Q5"/>
      <c r="R5"/>
      <c r="S5"/>
      <c r="T5"/>
      <c r="U5"/>
      <c r="V5"/>
      <c r="W5"/>
      <c r="X5"/>
      <c r="Y5"/>
      <c r="AA5">
        <v>3</v>
      </c>
      <c r="AB5">
        <v>4</v>
      </c>
      <c r="AC5">
        <v>5</v>
      </c>
      <c r="AD5">
        <v>6</v>
      </c>
      <c r="AE5">
        <v>7</v>
      </c>
      <c r="AF5">
        <v>8</v>
      </c>
      <c r="AG5">
        <v>9</v>
      </c>
      <c r="AH5">
        <v>10</v>
      </c>
      <c r="AR5">
        <v>11</v>
      </c>
      <c r="AS5">
        <v>12</v>
      </c>
      <c r="AT5">
        <v>13</v>
      </c>
      <c r="AU5">
        <v>14</v>
      </c>
      <c r="AV5">
        <v>15</v>
      </c>
      <c r="AW5">
        <v>16</v>
      </c>
      <c r="AX5">
        <v>17</v>
      </c>
      <c r="AY5">
        <v>18</v>
      </c>
      <c r="AZ5">
        <v>19</v>
      </c>
      <c r="BA5">
        <v>20</v>
      </c>
      <c r="BB5">
        <v>21</v>
      </c>
      <c r="BD5"/>
      <c r="BI5">
        <v>22</v>
      </c>
      <c r="BJ5">
        <v>23</v>
      </c>
      <c r="BK5">
        <v>24</v>
      </c>
      <c r="BL5">
        <v>25</v>
      </c>
      <c r="BM5">
        <v>26</v>
      </c>
      <c r="BN5">
        <v>27</v>
      </c>
      <c r="BO5">
        <v>28</v>
      </c>
      <c r="BZ5">
        <v>29</v>
      </c>
      <c r="CA5">
        <v>30</v>
      </c>
      <c r="CB5">
        <v>31</v>
      </c>
      <c r="CC5">
        <v>32</v>
      </c>
      <c r="CD5">
        <v>33</v>
      </c>
      <c r="CE5">
        <v>34</v>
      </c>
      <c r="CF5">
        <v>35</v>
      </c>
      <c r="CG5">
        <v>36</v>
      </c>
      <c r="CP5"/>
      <c r="CQ5">
        <v>37</v>
      </c>
      <c r="CR5">
        <v>38</v>
      </c>
      <c r="CS5">
        <v>39</v>
      </c>
      <c r="CT5">
        <v>40</v>
      </c>
    </row>
    <row r="6" spans="1:115" x14ac:dyDescent="0.35">
      <c r="G6" s="127" t="s">
        <v>9</v>
      </c>
      <c r="H6" s="127" t="s">
        <v>21</v>
      </c>
      <c r="I6"/>
      <c r="J6" s="121">
        <v>45839</v>
      </c>
      <c r="K6" s="122"/>
      <c r="L6" s="122"/>
      <c r="M6" s="122"/>
      <c r="N6" s="122"/>
      <c r="O6" s="122"/>
      <c r="P6" s="122"/>
      <c r="Q6" s="122"/>
      <c r="R6" s="122"/>
      <c r="S6" s="122"/>
      <c r="T6" s="122"/>
      <c r="U6" s="122"/>
      <c r="V6" s="122"/>
      <c r="W6" s="122"/>
      <c r="X6" s="122"/>
      <c r="Y6" s="123"/>
      <c r="Z6" s="29"/>
      <c r="AA6" s="121">
        <v>45870</v>
      </c>
      <c r="AB6" s="122"/>
      <c r="AC6" s="122"/>
      <c r="AD6" s="122"/>
      <c r="AE6" s="122"/>
      <c r="AF6" s="122"/>
      <c r="AG6" s="122"/>
      <c r="AH6" s="122"/>
      <c r="AI6" s="122"/>
      <c r="AJ6" s="122"/>
      <c r="AK6" s="122"/>
      <c r="AL6" s="122"/>
      <c r="AM6" s="122"/>
      <c r="AN6" s="122"/>
      <c r="AO6" s="122"/>
      <c r="AP6" s="123"/>
      <c r="AR6" s="121">
        <v>45901</v>
      </c>
      <c r="AS6" s="122"/>
      <c r="AT6" s="122"/>
      <c r="AU6" s="122"/>
      <c r="AV6" s="122"/>
      <c r="AW6" s="122"/>
      <c r="AX6" s="122"/>
      <c r="AY6" s="122"/>
      <c r="AZ6" s="122"/>
      <c r="BA6" s="122"/>
      <c r="BB6" s="122"/>
      <c r="BC6" s="122"/>
      <c r="BD6" s="122"/>
      <c r="BE6" s="122"/>
      <c r="BF6" s="122"/>
      <c r="BG6" s="123"/>
      <c r="BI6" s="121">
        <v>45931</v>
      </c>
      <c r="BJ6" s="122"/>
      <c r="BK6" s="122"/>
      <c r="BL6" s="122"/>
      <c r="BM6" s="122"/>
      <c r="BN6" s="122"/>
      <c r="BO6" s="122"/>
      <c r="BP6" s="122"/>
      <c r="BQ6" s="122"/>
      <c r="BR6" s="122"/>
      <c r="BS6" s="122"/>
      <c r="BT6" s="122"/>
      <c r="BU6" s="122"/>
      <c r="BV6" s="122"/>
      <c r="BW6" s="122"/>
      <c r="BX6" s="123"/>
      <c r="BZ6" s="121">
        <v>45962</v>
      </c>
      <c r="CA6" s="122"/>
      <c r="CB6" s="122"/>
      <c r="CC6" s="122"/>
      <c r="CD6" s="122"/>
      <c r="CE6" s="122"/>
      <c r="CF6" s="122"/>
      <c r="CG6" s="122"/>
      <c r="CH6" s="122"/>
      <c r="CI6" s="122"/>
      <c r="CJ6" s="122"/>
      <c r="CK6" s="122"/>
      <c r="CL6" s="122"/>
      <c r="CM6" s="122"/>
      <c r="CN6" s="122"/>
      <c r="CO6" s="123"/>
      <c r="CP6"/>
      <c r="CQ6" s="121">
        <v>45992</v>
      </c>
      <c r="CR6" s="122"/>
      <c r="CS6" s="122"/>
      <c r="CT6" s="122"/>
      <c r="CU6" s="122"/>
      <c r="CV6" s="122"/>
      <c r="CW6" s="122"/>
      <c r="CX6" s="122"/>
      <c r="CY6" s="122"/>
      <c r="CZ6" s="122"/>
      <c r="DA6" s="122"/>
      <c r="DB6" s="122"/>
      <c r="DC6" s="122"/>
      <c r="DD6" s="122"/>
      <c r="DE6" s="122"/>
      <c r="DF6" s="123"/>
      <c r="DH6" s="124" t="s">
        <v>24</v>
      </c>
      <c r="DI6" s="125"/>
      <c r="DJ6" s="125"/>
      <c r="DK6" s="126"/>
    </row>
    <row r="7" spans="1:115" x14ac:dyDescent="0.35">
      <c r="B7" s="15" t="s">
        <v>1</v>
      </c>
      <c r="C7" s="15" t="s">
        <v>10</v>
      </c>
      <c r="D7" s="15" t="s">
        <v>11</v>
      </c>
      <c r="E7" s="16" t="s">
        <v>4</v>
      </c>
      <c r="F7" s="30" t="s">
        <v>5</v>
      </c>
      <c r="G7" s="128"/>
      <c r="H7" s="128"/>
      <c r="I7"/>
      <c r="J7" s="44">
        <v>28</v>
      </c>
      <c r="K7" s="44">
        <v>29</v>
      </c>
      <c r="L7" s="44"/>
      <c r="M7" s="44"/>
      <c r="N7" s="44"/>
      <c r="O7" s="44"/>
      <c r="P7" s="44"/>
      <c r="Q7" s="44"/>
      <c r="R7" s="44"/>
      <c r="S7" s="44"/>
      <c r="T7" s="44"/>
      <c r="U7" s="44"/>
      <c r="V7" s="44"/>
      <c r="W7" s="44"/>
      <c r="X7" s="44"/>
      <c r="Y7" s="31" t="s">
        <v>12</v>
      </c>
      <c r="Z7" s="13"/>
      <c r="AA7" s="44">
        <v>4</v>
      </c>
      <c r="AB7" s="44">
        <v>5</v>
      </c>
      <c r="AC7" s="44">
        <v>11</v>
      </c>
      <c r="AD7" s="44">
        <v>12</v>
      </c>
      <c r="AE7" s="44">
        <v>18</v>
      </c>
      <c r="AF7" s="44">
        <v>19</v>
      </c>
      <c r="AG7" s="44">
        <v>25</v>
      </c>
      <c r="AH7" s="44">
        <v>26</v>
      </c>
      <c r="AI7" s="44"/>
      <c r="AJ7" s="44"/>
      <c r="AK7" s="44"/>
      <c r="AL7" s="44"/>
      <c r="AM7" s="44"/>
      <c r="AN7" s="44"/>
      <c r="AO7" s="44"/>
      <c r="AP7" s="31" t="s">
        <v>12</v>
      </c>
      <c r="AQ7" s="13"/>
      <c r="AR7" s="44">
        <v>1</v>
      </c>
      <c r="AS7" s="44">
        <v>2</v>
      </c>
      <c r="AT7" s="44">
        <v>8</v>
      </c>
      <c r="AU7" s="44">
        <v>9</v>
      </c>
      <c r="AV7" s="81">
        <v>13</v>
      </c>
      <c r="AW7" s="44">
        <v>15</v>
      </c>
      <c r="AX7" s="44">
        <v>16</v>
      </c>
      <c r="AY7" s="44">
        <v>22</v>
      </c>
      <c r="AZ7" s="44">
        <v>23</v>
      </c>
      <c r="BA7" s="44">
        <v>29</v>
      </c>
      <c r="BB7" s="82">
        <v>30</v>
      </c>
      <c r="BC7" s="44"/>
      <c r="BD7" s="44"/>
      <c r="BE7" s="44"/>
      <c r="BF7" s="44"/>
      <c r="BG7" s="31" t="s">
        <v>12</v>
      </c>
      <c r="BI7" s="44">
        <v>6</v>
      </c>
      <c r="BJ7" s="44">
        <v>7</v>
      </c>
      <c r="BK7" s="44">
        <v>14</v>
      </c>
      <c r="BL7" s="44">
        <v>20</v>
      </c>
      <c r="BM7" s="44">
        <v>21</v>
      </c>
      <c r="BN7" s="44">
        <v>27</v>
      </c>
      <c r="BO7" s="44">
        <v>28</v>
      </c>
      <c r="BP7" s="44"/>
      <c r="BQ7" s="44"/>
      <c r="BR7" s="44"/>
      <c r="BS7" s="44"/>
      <c r="BT7" s="44"/>
      <c r="BU7" s="44"/>
      <c r="BV7" s="44"/>
      <c r="BW7" s="44"/>
      <c r="BX7" s="31" t="s">
        <v>12</v>
      </c>
      <c r="BZ7" s="44">
        <v>3</v>
      </c>
      <c r="CA7" s="44">
        <v>4</v>
      </c>
      <c r="CB7" s="44">
        <v>10</v>
      </c>
      <c r="CC7" s="44">
        <v>11</v>
      </c>
      <c r="CD7" s="44">
        <v>17</v>
      </c>
      <c r="CE7" s="44">
        <v>18</v>
      </c>
      <c r="CF7" s="44">
        <v>24</v>
      </c>
      <c r="CG7" s="82">
        <v>25</v>
      </c>
      <c r="CH7" s="44"/>
      <c r="CI7" s="44"/>
      <c r="CJ7" s="44"/>
      <c r="CK7" s="44"/>
      <c r="CL7" s="44"/>
      <c r="CM7" s="44"/>
      <c r="CN7" s="44"/>
      <c r="CO7" s="31" t="s">
        <v>12</v>
      </c>
      <c r="CP7"/>
      <c r="CQ7" s="44">
        <v>1</v>
      </c>
      <c r="CR7" s="44">
        <v>2</v>
      </c>
      <c r="CS7" s="82">
        <v>8</v>
      </c>
      <c r="CT7" s="44">
        <v>9</v>
      </c>
      <c r="CU7" s="44"/>
      <c r="CV7" s="44"/>
      <c r="CW7" s="44"/>
      <c r="CX7" s="44"/>
      <c r="CY7" s="44"/>
      <c r="CZ7" s="44"/>
      <c r="DA7" s="44"/>
      <c r="DB7" s="44"/>
      <c r="DC7" s="44"/>
      <c r="DD7" s="44"/>
      <c r="DE7" s="44"/>
      <c r="DF7" s="31" t="s">
        <v>12</v>
      </c>
      <c r="DH7" s="32" t="s">
        <v>13</v>
      </c>
      <c r="DI7" s="32" t="s">
        <v>22</v>
      </c>
      <c r="DJ7" s="32" t="s">
        <v>14</v>
      </c>
      <c r="DK7" s="33" t="s">
        <v>23</v>
      </c>
    </row>
    <row r="8" spans="1:115" x14ac:dyDescent="0.35">
      <c r="A8" s="57"/>
      <c r="B8" s="58" t="s">
        <v>32</v>
      </c>
      <c r="C8" s="59">
        <v>10</v>
      </c>
      <c r="D8" s="58">
        <v>1701</v>
      </c>
      <c r="E8" s="60">
        <v>100847968</v>
      </c>
      <c r="F8" s="61" t="s">
        <v>42</v>
      </c>
      <c r="G8" s="62">
        <v>2</v>
      </c>
      <c r="H8" s="62"/>
      <c r="I8" s="63"/>
      <c r="J8" s="63"/>
      <c r="K8" s="63"/>
      <c r="L8" s="63"/>
      <c r="M8" s="64"/>
      <c r="N8" s="64"/>
      <c r="O8" s="64"/>
      <c r="P8" s="64"/>
      <c r="Q8" s="63"/>
      <c r="R8" s="63"/>
      <c r="S8" s="63"/>
      <c r="T8" s="63"/>
      <c r="U8" s="63"/>
      <c r="V8" s="63"/>
      <c r="W8" s="63"/>
      <c r="X8" s="64"/>
      <c r="Y8" s="64">
        <f t="shared" ref="Y8:Y38" si="0">SUM(J8:X8)</f>
        <v>0</v>
      </c>
      <c r="Z8" s="64"/>
      <c r="AA8" s="63"/>
      <c r="AB8" s="64"/>
      <c r="AC8" s="64">
        <v>2</v>
      </c>
      <c r="AD8" s="64">
        <v>2</v>
      </c>
      <c r="AE8" s="64"/>
      <c r="AF8" s="63"/>
      <c r="AG8" s="64"/>
      <c r="AH8" s="63">
        <v>2</v>
      </c>
      <c r="AI8" s="63"/>
      <c r="AJ8" s="63"/>
      <c r="AK8" s="63"/>
      <c r="AL8" s="63"/>
      <c r="AM8" s="63"/>
      <c r="AN8" s="63"/>
      <c r="AO8" s="64"/>
      <c r="AP8" s="64">
        <f t="shared" ref="AP8:AP38" si="1">SUM(AA8:AO8)</f>
        <v>6</v>
      </c>
      <c r="AQ8" s="63"/>
      <c r="AR8" s="63"/>
      <c r="AS8" s="64"/>
      <c r="AT8" s="63">
        <v>2</v>
      </c>
      <c r="AU8" s="63">
        <v>2</v>
      </c>
      <c r="AV8" s="63"/>
      <c r="AW8" s="63"/>
      <c r="AX8" s="63">
        <v>2</v>
      </c>
      <c r="AY8" s="63">
        <v>2</v>
      </c>
      <c r="AZ8" s="63">
        <v>2</v>
      </c>
      <c r="BA8" s="63"/>
      <c r="BB8" s="63"/>
      <c r="BC8" s="63"/>
      <c r="BD8" s="63"/>
      <c r="BE8" s="63"/>
      <c r="BF8" s="63"/>
      <c r="BG8" s="64">
        <f t="shared" ref="BG8:BG38" si="2">SUM(AR8:BF8)</f>
        <v>10</v>
      </c>
      <c r="BH8" s="64"/>
      <c r="BI8" s="64"/>
      <c r="BJ8" s="63"/>
      <c r="BK8" s="63"/>
      <c r="BL8" s="64"/>
      <c r="BM8" s="63"/>
      <c r="BN8" s="63"/>
      <c r="BO8" s="63"/>
      <c r="BP8" s="63"/>
      <c r="BQ8" s="64"/>
      <c r="BR8" s="63"/>
      <c r="BS8" s="63"/>
      <c r="BT8" s="63"/>
      <c r="BU8" s="63"/>
      <c r="BV8" s="63"/>
      <c r="BW8" s="63"/>
      <c r="BX8" s="64">
        <f t="shared" ref="BX8:BX38" si="3">SUM(BI8:BW8)</f>
        <v>0</v>
      </c>
      <c r="BY8" s="64"/>
      <c r="BZ8" s="63"/>
      <c r="CA8" s="63"/>
      <c r="CB8" s="63"/>
      <c r="CC8" s="63"/>
      <c r="CD8" s="63"/>
      <c r="CE8" s="63"/>
      <c r="CF8" s="63"/>
      <c r="CG8" s="63"/>
      <c r="CH8" s="63"/>
      <c r="CI8" s="64"/>
      <c r="CJ8" s="63"/>
      <c r="CK8" s="63"/>
      <c r="CL8" s="63"/>
      <c r="CM8" s="63"/>
      <c r="CN8" s="63"/>
      <c r="CO8" s="64">
        <f t="shared" ref="CO8:CO38" si="4">SUM(BZ8:CN8)</f>
        <v>0</v>
      </c>
      <c r="CP8" s="63"/>
      <c r="CQ8" s="63"/>
      <c r="CR8" s="63"/>
      <c r="CS8" s="64"/>
      <c r="CT8" s="64"/>
      <c r="CU8" s="64"/>
      <c r="CV8" s="63"/>
      <c r="CW8" s="63"/>
      <c r="CX8" s="63"/>
      <c r="CY8" s="63"/>
      <c r="CZ8" s="63"/>
      <c r="DA8" s="63"/>
      <c r="DB8" s="63"/>
      <c r="DC8" s="63"/>
      <c r="DD8" s="63"/>
      <c r="DE8" s="64"/>
      <c r="DF8" s="63">
        <f t="shared" ref="DF8:DF38" si="5">SUM(CQ8:DE8)</f>
        <v>0</v>
      </c>
      <c r="DG8" s="64"/>
      <c r="DH8" s="64">
        <f t="shared" ref="DH8:DH38" si="6">SUM(Y8,AP8,BG8,BX8,CO8,DF8)</f>
        <v>16</v>
      </c>
      <c r="DI8" s="64">
        <f t="shared" ref="DI8:DI38" si="7">H8</f>
        <v>0</v>
      </c>
      <c r="DJ8" s="63">
        <f t="shared" ref="DJ8:DJ38" si="8">G8</f>
        <v>2</v>
      </c>
      <c r="DK8" s="63">
        <f t="shared" ref="DK8:DK38" si="9">DH8+DI8-DJ8</f>
        <v>14</v>
      </c>
    </row>
    <row r="9" spans="1:115" x14ac:dyDescent="0.35">
      <c r="A9" s="46"/>
      <c r="B9" s="47" t="s">
        <v>32</v>
      </c>
      <c r="C9" s="48">
        <v>8</v>
      </c>
      <c r="D9" s="49">
        <v>1897</v>
      </c>
      <c r="E9" s="50">
        <v>100843247</v>
      </c>
      <c r="F9" s="51" t="s">
        <v>36</v>
      </c>
      <c r="G9" s="52">
        <v>2</v>
      </c>
      <c r="H9" s="52"/>
      <c r="I9" s="53"/>
      <c r="J9" s="54"/>
      <c r="K9" s="54"/>
      <c r="L9" s="54"/>
      <c r="M9" s="55"/>
      <c r="N9" s="55"/>
      <c r="O9" s="55"/>
      <c r="P9" s="55"/>
      <c r="Q9" s="54"/>
      <c r="R9" s="54"/>
      <c r="S9" s="54"/>
      <c r="T9" s="54"/>
      <c r="U9" s="54"/>
      <c r="V9" s="56"/>
      <c r="W9" s="56"/>
      <c r="X9" s="55"/>
      <c r="Y9" s="55">
        <f t="shared" si="0"/>
        <v>0</v>
      </c>
      <c r="Z9" s="55"/>
      <c r="AA9" s="54"/>
      <c r="AB9" s="55"/>
      <c r="AC9" s="55">
        <v>2</v>
      </c>
      <c r="AD9" s="55">
        <v>2</v>
      </c>
      <c r="AE9" s="55"/>
      <c r="AF9" s="54"/>
      <c r="AG9" s="55"/>
      <c r="AH9" s="54"/>
      <c r="AI9" s="54"/>
      <c r="AJ9" s="54"/>
      <c r="AK9" s="54"/>
      <c r="AL9" s="54"/>
      <c r="AM9" s="56"/>
      <c r="AN9" s="56"/>
      <c r="AO9" s="55"/>
      <c r="AP9" s="55">
        <f t="shared" si="1"/>
        <v>4</v>
      </c>
      <c r="AQ9" s="56"/>
      <c r="AR9" s="54"/>
      <c r="AS9" s="55"/>
      <c r="AT9" s="54">
        <v>2</v>
      </c>
      <c r="AU9" s="54"/>
      <c r="AV9" s="54"/>
      <c r="AW9" s="54">
        <v>2</v>
      </c>
      <c r="AX9" s="54"/>
      <c r="AY9" s="54"/>
      <c r="AZ9" s="54"/>
      <c r="BA9" s="54"/>
      <c r="BB9" s="54"/>
      <c r="BC9" s="54"/>
      <c r="BD9" s="54"/>
      <c r="BE9" s="56"/>
      <c r="BF9" s="56"/>
      <c r="BG9" s="55">
        <f t="shared" si="2"/>
        <v>4</v>
      </c>
      <c r="BH9" s="55"/>
      <c r="BI9" s="55"/>
      <c r="BJ9" s="54"/>
      <c r="BK9" s="54"/>
      <c r="BL9" s="55"/>
      <c r="BM9" s="54"/>
      <c r="BN9" s="54"/>
      <c r="BO9" s="54"/>
      <c r="BP9" s="54"/>
      <c r="BQ9" s="55"/>
      <c r="BR9" s="54"/>
      <c r="BS9" s="54"/>
      <c r="BT9" s="54"/>
      <c r="BU9" s="54"/>
      <c r="BV9" s="56"/>
      <c r="BW9" s="56"/>
      <c r="BX9" s="55">
        <f t="shared" si="3"/>
        <v>0</v>
      </c>
      <c r="BY9" s="55"/>
      <c r="BZ9" s="54"/>
      <c r="CA9" s="54"/>
      <c r="CB9" s="54"/>
      <c r="CC9" s="54"/>
      <c r="CD9" s="54"/>
      <c r="CE9" s="54"/>
      <c r="CF9" s="54"/>
      <c r="CG9" s="54"/>
      <c r="CH9" s="54"/>
      <c r="CI9" s="55"/>
      <c r="CJ9" s="54"/>
      <c r="CK9" s="54"/>
      <c r="CL9" s="54"/>
      <c r="CM9" s="56"/>
      <c r="CN9" s="56"/>
      <c r="CO9" s="55">
        <f t="shared" si="4"/>
        <v>0</v>
      </c>
      <c r="CP9" s="56"/>
      <c r="CQ9" s="54"/>
      <c r="CR9" s="54"/>
      <c r="CS9" s="55"/>
      <c r="CT9" s="55"/>
      <c r="CU9" s="55"/>
      <c r="CV9" s="54"/>
      <c r="CW9" s="54"/>
      <c r="CX9" s="54"/>
      <c r="CY9" s="54"/>
      <c r="CZ9" s="54"/>
      <c r="DA9" s="54"/>
      <c r="DB9" s="54"/>
      <c r="DC9" s="56"/>
      <c r="DD9" s="56"/>
      <c r="DE9" s="55"/>
      <c r="DF9" s="56">
        <f t="shared" si="5"/>
        <v>0</v>
      </c>
      <c r="DG9" s="55"/>
      <c r="DH9" s="55">
        <f t="shared" si="6"/>
        <v>8</v>
      </c>
      <c r="DI9" s="55">
        <f t="shared" si="7"/>
        <v>0</v>
      </c>
      <c r="DJ9" s="54">
        <f t="shared" si="8"/>
        <v>2</v>
      </c>
      <c r="DK9" s="54">
        <f t="shared" si="9"/>
        <v>6</v>
      </c>
    </row>
    <row r="10" spans="1:115" x14ac:dyDescent="0.35">
      <c r="A10" s="57"/>
      <c r="B10" s="58" t="s">
        <v>32</v>
      </c>
      <c r="C10" s="59">
        <v>10</v>
      </c>
      <c r="D10" s="58">
        <v>1707</v>
      </c>
      <c r="E10" s="60">
        <v>100847836</v>
      </c>
      <c r="F10" s="61" t="s">
        <v>43</v>
      </c>
      <c r="G10" s="62">
        <v>0</v>
      </c>
      <c r="H10" s="62"/>
      <c r="I10" s="63"/>
      <c r="J10" s="63"/>
      <c r="K10" s="63"/>
      <c r="L10" s="63"/>
      <c r="M10" s="64"/>
      <c r="N10" s="64"/>
      <c r="O10" s="64"/>
      <c r="P10" s="64"/>
      <c r="Q10" s="63"/>
      <c r="R10" s="63"/>
      <c r="S10" s="63"/>
      <c r="T10" s="63"/>
      <c r="U10" s="63"/>
      <c r="V10" s="63"/>
      <c r="W10" s="63"/>
      <c r="X10" s="64"/>
      <c r="Y10" s="64">
        <f t="shared" si="0"/>
        <v>0</v>
      </c>
      <c r="Z10" s="64"/>
      <c r="AA10" s="63">
        <v>2</v>
      </c>
      <c r="AB10" s="64"/>
      <c r="AC10" s="64"/>
      <c r="AD10" s="64">
        <v>2</v>
      </c>
      <c r="AE10" s="64"/>
      <c r="AF10" s="63"/>
      <c r="AG10" s="64"/>
      <c r="AH10" s="63"/>
      <c r="AI10" s="63"/>
      <c r="AJ10" s="63"/>
      <c r="AK10" s="63"/>
      <c r="AL10" s="63"/>
      <c r="AM10" s="63"/>
      <c r="AN10" s="63"/>
      <c r="AO10" s="64"/>
      <c r="AP10" s="64">
        <f t="shared" si="1"/>
        <v>4</v>
      </c>
      <c r="AQ10" s="63"/>
      <c r="AR10" s="63">
        <v>2</v>
      </c>
      <c r="AS10" s="64"/>
      <c r="AT10" s="63">
        <v>2</v>
      </c>
      <c r="AU10" s="63"/>
      <c r="AV10" s="63"/>
      <c r="AW10" s="63"/>
      <c r="AX10" s="63">
        <v>2</v>
      </c>
      <c r="AY10" s="63">
        <v>2</v>
      </c>
      <c r="AZ10" s="63"/>
      <c r="BA10" s="63"/>
      <c r="BB10" s="63"/>
      <c r="BC10" s="63"/>
      <c r="BD10" s="63"/>
      <c r="BE10" s="63"/>
      <c r="BF10" s="63"/>
      <c r="BG10" s="64">
        <f t="shared" si="2"/>
        <v>8</v>
      </c>
      <c r="BH10" s="64"/>
      <c r="BI10" s="64"/>
      <c r="BJ10" s="63"/>
      <c r="BK10" s="63"/>
      <c r="BL10" s="64"/>
      <c r="BM10" s="63"/>
      <c r="BN10" s="63"/>
      <c r="BO10" s="63"/>
      <c r="BP10" s="63"/>
      <c r="BQ10" s="64"/>
      <c r="BR10" s="63"/>
      <c r="BS10" s="63"/>
      <c r="BT10" s="63"/>
      <c r="BU10" s="63"/>
      <c r="BV10" s="63"/>
      <c r="BW10" s="63"/>
      <c r="BX10" s="64">
        <f t="shared" si="3"/>
        <v>0</v>
      </c>
      <c r="BY10" s="64"/>
      <c r="BZ10" s="63"/>
      <c r="CA10" s="63"/>
      <c r="CB10" s="63"/>
      <c r="CC10" s="63"/>
      <c r="CD10" s="63"/>
      <c r="CE10" s="63"/>
      <c r="CF10" s="63"/>
      <c r="CG10" s="63"/>
      <c r="CH10" s="63"/>
      <c r="CI10" s="64"/>
      <c r="CJ10" s="63"/>
      <c r="CK10" s="63"/>
      <c r="CL10" s="63"/>
      <c r="CM10" s="63"/>
      <c r="CN10" s="63"/>
      <c r="CO10" s="64">
        <f t="shared" si="4"/>
        <v>0</v>
      </c>
      <c r="CP10" s="63"/>
      <c r="CQ10" s="63"/>
      <c r="CR10" s="63"/>
      <c r="CS10" s="64"/>
      <c r="CT10" s="64"/>
      <c r="CU10" s="64"/>
      <c r="CV10" s="63"/>
      <c r="CW10" s="63"/>
      <c r="CX10" s="63"/>
      <c r="CY10" s="63"/>
      <c r="CZ10" s="63"/>
      <c r="DA10" s="63"/>
      <c r="DB10" s="63"/>
      <c r="DC10" s="63"/>
      <c r="DD10" s="63"/>
      <c r="DE10" s="64"/>
      <c r="DF10" s="63">
        <f t="shared" si="5"/>
        <v>0</v>
      </c>
      <c r="DG10" s="64"/>
      <c r="DH10" s="64">
        <f t="shared" si="6"/>
        <v>12</v>
      </c>
      <c r="DI10" s="64">
        <f t="shared" si="7"/>
        <v>0</v>
      </c>
      <c r="DJ10" s="63">
        <f t="shared" si="8"/>
        <v>0</v>
      </c>
      <c r="DK10" s="63">
        <f t="shared" si="9"/>
        <v>12</v>
      </c>
    </row>
    <row r="11" spans="1:115" x14ac:dyDescent="0.35">
      <c r="A11" s="46"/>
      <c r="B11" s="47" t="s">
        <v>32</v>
      </c>
      <c r="C11" s="48">
        <v>10</v>
      </c>
      <c r="D11" s="49">
        <v>1744</v>
      </c>
      <c r="E11" s="50">
        <v>100848107</v>
      </c>
      <c r="F11" s="51" t="s">
        <v>44</v>
      </c>
      <c r="G11" s="52">
        <v>0</v>
      </c>
      <c r="H11" s="52"/>
      <c r="I11" s="53"/>
      <c r="J11" s="54"/>
      <c r="K11" s="54"/>
      <c r="L11" s="54"/>
      <c r="M11" s="55"/>
      <c r="N11" s="55"/>
      <c r="O11" s="55"/>
      <c r="P11" s="55"/>
      <c r="Q11" s="54"/>
      <c r="R11" s="54"/>
      <c r="S11" s="54"/>
      <c r="T11" s="54"/>
      <c r="U11" s="54"/>
      <c r="V11" s="56"/>
      <c r="W11" s="56"/>
      <c r="X11" s="55"/>
      <c r="Y11" s="55">
        <f t="shared" si="0"/>
        <v>0</v>
      </c>
      <c r="Z11" s="55"/>
      <c r="AA11" s="54"/>
      <c r="AB11" s="55"/>
      <c r="AC11" s="55"/>
      <c r="AD11" s="55">
        <v>2</v>
      </c>
      <c r="AE11" s="55"/>
      <c r="AF11" s="54"/>
      <c r="AG11" s="55"/>
      <c r="AH11" s="54"/>
      <c r="AI11" s="54"/>
      <c r="AJ11" s="54"/>
      <c r="AK11" s="54"/>
      <c r="AL11" s="54"/>
      <c r="AM11" s="56"/>
      <c r="AN11" s="56"/>
      <c r="AO11" s="55"/>
      <c r="AP11" s="55">
        <f t="shared" si="1"/>
        <v>2</v>
      </c>
      <c r="AQ11" s="56"/>
      <c r="AR11" s="54"/>
      <c r="AS11" s="55"/>
      <c r="AT11" s="54"/>
      <c r="AU11" s="54"/>
      <c r="AV11" s="54"/>
      <c r="AW11" s="54"/>
      <c r="AX11" s="54">
        <v>2</v>
      </c>
      <c r="AY11" s="54"/>
      <c r="AZ11" s="54"/>
      <c r="BA11" s="54">
        <v>2</v>
      </c>
      <c r="BB11" s="54"/>
      <c r="BC11" s="54"/>
      <c r="BD11" s="54"/>
      <c r="BE11" s="56"/>
      <c r="BF11" s="56"/>
      <c r="BG11" s="55">
        <f t="shared" si="2"/>
        <v>4</v>
      </c>
      <c r="BH11" s="55"/>
      <c r="BI11" s="55"/>
      <c r="BJ11" s="54"/>
      <c r="BK11" s="54"/>
      <c r="BL11" s="55"/>
      <c r="BM11" s="54"/>
      <c r="BN11" s="54"/>
      <c r="BO11" s="54"/>
      <c r="BP11" s="54"/>
      <c r="BQ11" s="55"/>
      <c r="BR11" s="54"/>
      <c r="BS11" s="54"/>
      <c r="BT11" s="54"/>
      <c r="BU11" s="54"/>
      <c r="BV11" s="56"/>
      <c r="BW11" s="56"/>
      <c r="BX11" s="55">
        <f t="shared" si="3"/>
        <v>0</v>
      </c>
      <c r="BY11" s="55"/>
      <c r="BZ11" s="54"/>
      <c r="CA11" s="54"/>
      <c r="CB11" s="54"/>
      <c r="CC11" s="54"/>
      <c r="CD11" s="54"/>
      <c r="CE11" s="54"/>
      <c r="CF11" s="54"/>
      <c r="CG11" s="54"/>
      <c r="CH11" s="54"/>
      <c r="CI11" s="55"/>
      <c r="CJ11" s="54"/>
      <c r="CK11" s="54"/>
      <c r="CL11" s="54"/>
      <c r="CM11" s="56"/>
      <c r="CN11" s="56"/>
      <c r="CO11" s="55">
        <f t="shared" si="4"/>
        <v>0</v>
      </c>
      <c r="CP11" s="56"/>
      <c r="CQ11" s="54"/>
      <c r="CR11" s="54"/>
      <c r="CS11" s="55"/>
      <c r="CT11" s="55"/>
      <c r="CU11" s="55"/>
      <c r="CV11" s="54"/>
      <c r="CW11" s="54"/>
      <c r="CX11" s="54"/>
      <c r="CY11" s="54"/>
      <c r="CZ11" s="54"/>
      <c r="DA11" s="54"/>
      <c r="DB11" s="54"/>
      <c r="DC11" s="56"/>
      <c r="DD11" s="56"/>
      <c r="DE11" s="55"/>
      <c r="DF11" s="56">
        <f t="shared" si="5"/>
        <v>0</v>
      </c>
      <c r="DG11" s="55"/>
      <c r="DH11" s="55">
        <f t="shared" si="6"/>
        <v>6</v>
      </c>
      <c r="DI11" s="55">
        <f t="shared" si="7"/>
        <v>0</v>
      </c>
      <c r="DJ11" s="54">
        <f t="shared" si="8"/>
        <v>0</v>
      </c>
      <c r="DK11" s="54">
        <f t="shared" si="9"/>
        <v>6</v>
      </c>
    </row>
    <row r="12" spans="1:115" x14ac:dyDescent="0.35">
      <c r="A12" s="57"/>
      <c r="B12" s="58" t="s">
        <v>32</v>
      </c>
      <c r="C12" s="59">
        <v>8</v>
      </c>
      <c r="D12" s="58">
        <v>2042</v>
      </c>
      <c r="E12" s="60">
        <v>100844242</v>
      </c>
      <c r="F12" s="61" t="s">
        <v>37</v>
      </c>
      <c r="G12" s="62">
        <v>0</v>
      </c>
      <c r="H12" s="62"/>
      <c r="I12" s="63"/>
      <c r="J12" s="63"/>
      <c r="K12" s="63"/>
      <c r="L12" s="63"/>
      <c r="M12" s="64"/>
      <c r="N12" s="64"/>
      <c r="O12" s="64"/>
      <c r="P12" s="64"/>
      <c r="Q12" s="63"/>
      <c r="R12" s="63"/>
      <c r="S12" s="63"/>
      <c r="T12" s="63"/>
      <c r="U12" s="63"/>
      <c r="V12" s="63"/>
      <c r="W12" s="63"/>
      <c r="X12" s="64"/>
      <c r="Y12" s="64">
        <f t="shared" si="0"/>
        <v>0</v>
      </c>
      <c r="Z12" s="64"/>
      <c r="AA12" s="63"/>
      <c r="AB12" s="64"/>
      <c r="AC12" s="64"/>
      <c r="AD12" s="64">
        <v>2</v>
      </c>
      <c r="AE12" s="64"/>
      <c r="AF12" s="63"/>
      <c r="AG12" s="64"/>
      <c r="AH12" s="63"/>
      <c r="AI12" s="63"/>
      <c r="AJ12" s="63"/>
      <c r="AK12" s="63"/>
      <c r="AL12" s="63"/>
      <c r="AM12" s="63"/>
      <c r="AN12" s="63"/>
      <c r="AO12" s="64"/>
      <c r="AP12" s="64">
        <f t="shared" si="1"/>
        <v>2</v>
      </c>
      <c r="AQ12" s="63"/>
      <c r="AR12" s="63"/>
      <c r="AS12" s="64">
        <v>2</v>
      </c>
      <c r="AT12" s="63">
        <v>2</v>
      </c>
      <c r="AU12" s="63"/>
      <c r="AV12" s="63"/>
      <c r="AW12" s="63"/>
      <c r="AX12" s="63"/>
      <c r="AY12" s="63"/>
      <c r="AZ12" s="63"/>
      <c r="BA12" s="63"/>
      <c r="BB12" s="63"/>
      <c r="BC12" s="63"/>
      <c r="BD12" s="63"/>
      <c r="BE12" s="63"/>
      <c r="BF12" s="63"/>
      <c r="BG12" s="64">
        <f t="shared" si="2"/>
        <v>4</v>
      </c>
      <c r="BH12" s="64"/>
      <c r="BI12" s="64"/>
      <c r="BJ12" s="63"/>
      <c r="BK12" s="63"/>
      <c r="BL12" s="64"/>
      <c r="BM12" s="63"/>
      <c r="BN12" s="63"/>
      <c r="BO12" s="63"/>
      <c r="BP12" s="63"/>
      <c r="BQ12" s="64"/>
      <c r="BR12" s="63"/>
      <c r="BS12" s="63"/>
      <c r="BT12" s="63"/>
      <c r="BU12" s="63"/>
      <c r="BV12" s="63"/>
      <c r="BW12" s="63"/>
      <c r="BX12" s="64">
        <f t="shared" si="3"/>
        <v>0</v>
      </c>
      <c r="BY12" s="64"/>
      <c r="BZ12" s="63"/>
      <c r="CA12" s="63"/>
      <c r="CB12" s="63"/>
      <c r="CC12" s="63"/>
      <c r="CD12" s="63"/>
      <c r="CE12" s="63"/>
      <c r="CF12" s="63"/>
      <c r="CG12" s="63"/>
      <c r="CH12" s="63"/>
      <c r="CI12" s="64"/>
      <c r="CJ12" s="63"/>
      <c r="CK12" s="63"/>
      <c r="CL12" s="63"/>
      <c r="CM12" s="63"/>
      <c r="CN12" s="63"/>
      <c r="CO12" s="64">
        <f t="shared" si="4"/>
        <v>0</v>
      </c>
      <c r="CP12" s="63"/>
      <c r="CQ12" s="63"/>
      <c r="CR12" s="63"/>
      <c r="CS12" s="64"/>
      <c r="CT12" s="64"/>
      <c r="CU12" s="64"/>
      <c r="CV12" s="63"/>
      <c r="CW12" s="63"/>
      <c r="CX12" s="63"/>
      <c r="CY12" s="63"/>
      <c r="CZ12" s="63"/>
      <c r="DA12" s="63"/>
      <c r="DB12" s="63"/>
      <c r="DC12" s="63"/>
      <c r="DD12" s="63"/>
      <c r="DE12" s="64"/>
      <c r="DF12" s="63">
        <f t="shared" si="5"/>
        <v>0</v>
      </c>
      <c r="DG12" s="64"/>
      <c r="DH12" s="64">
        <f t="shared" si="6"/>
        <v>6</v>
      </c>
      <c r="DI12" s="64">
        <f t="shared" si="7"/>
        <v>0</v>
      </c>
      <c r="DJ12" s="63">
        <f t="shared" si="8"/>
        <v>0</v>
      </c>
      <c r="DK12" s="63">
        <f t="shared" si="9"/>
        <v>6</v>
      </c>
    </row>
    <row r="13" spans="1:115" x14ac:dyDescent="0.35">
      <c r="A13" s="46"/>
      <c r="B13" s="47" t="s">
        <v>32</v>
      </c>
      <c r="C13" s="48">
        <v>9</v>
      </c>
      <c r="D13" s="49">
        <v>1801</v>
      </c>
      <c r="E13" s="50">
        <v>100843165</v>
      </c>
      <c r="F13" s="51" t="s">
        <v>39</v>
      </c>
      <c r="G13" s="52">
        <v>0</v>
      </c>
      <c r="H13" s="52"/>
      <c r="I13" s="53"/>
      <c r="J13" s="54"/>
      <c r="K13" s="54"/>
      <c r="L13" s="54"/>
      <c r="M13" s="55"/>
      <c r="N13" s="55"/>
      <c r="O13" s="55"/>
      <c r="P13" s="55"/>
      <c r="Q13" s="54"/>
      <c r="R13" s="54"/>
      <c r="S13" s="54"/>
      <c r="T13" s="54"/>
      <c r="U13" s="54"/>
      <c r="V13" s="56"/>
      <c r="W13" s="56"/>
      <c r="X13" s="55"/>
      <c r="Y13" s="55">
        <f t="shared" si="0"/>
        <v>0</v>
      </c>
      <c r="Z13" s="55"/>
      <c r="AA13" s="54"/>
      <c r="AB13" s="55"/>
      <c r="AC13" s="55"/>
      <c r="AD13" s="55">
        <v>2</v>
      </c>
      <c r="AE13" s="55"/>
      <c r="AF13" s="54"/>
      <c r="AG13" s="55"/>
      <c r="AH13" s="54"/>
      <c r="AI13" s="54"/>
      <c r="AJ13" s="54"/>
      <c r="AK13" s="54"/>
      <c r="AL13" s="54"/>
      <c r="AM13" s="56"/>
      <c r="AN13" s="56"/>
      <c r="AO13" s="55"/>
      <c r="AP13" s="55">
        <f t="shared" si="1"/>
        <v>2</v>
      </c>
      <c r="AQ13" s="56"/>
      <c r="AR13" s="54"/>
      <c r="AS13" s="55"/>
      <c r="AT13" s="54"/>
      <c r="AU13" s="54"/>
      <c r="AV13" s="54"/>
      <c r="AW13" s="54"/>
      <c r="AX13" s="54"/>
      <c r="AY13" s="54"/>
      <c r="AZ13" s="54"/>
      <c r="BA13" s="54"/>
      <c r="BB13" s="54"/>
      <c r="BC13" s="54"/>
      <c r="BD13" s="54"/>
      <c r="BE13" s="56"/>
      <c r="BF13" s="56"/>
      <c r="BG13" s="55">
        <f t="shared" si="2"/>
        <v>0</v>
      </c>
      <c r="BH13" s="55"/>
      <c r="BI13" s="55"/>
      <c r="BJ13" s="54"/>
      <c r="BK13" s="54"/>
      <c r="BL13" s="55"/>
      <c r="BM13" s="54"/>
      <c r="BN13" s="54"/>
      <c r="BO13" s="54"/>
      <c r="BP13" s="54"/>
      <c r="BQ13" s="55"/>
      <c r="BR13" s="54"/>
      <c r="BS13" s="54"/>
      <c r="BT13" s="54"/>
      <c r="BU13" s="54"/>
      <c r="BV13" s="56"/>
      <c r="BW13" s="56"/>
      <c r="BX13" s="55">
        <f t="shared" si="3"/>
        <v>0</v>
      </c>
      <c r="BY13" s="55"/>
      <c r="BZ13" s="54"/>
      <c r="CA13" s="54"/>
      <c r="CB13" s="54"/>
      <c r="CC13" s="54"/>
      <c r="CD13" s="54"/>
      <c r="CE13" s="54"/>
      <c r="CF13" s="54"/>
      <c r="CG13" s="54"/>
      <c r="CH13" s="54"/>
      <c r="CI13" s="55"/>
      <c r="CJ13" s="54"/>
      <c r="CK13" s="54"/>
      <c r="CL13" s="54"/>
      <c r="CM13" s="56"/>
      <c r="CN13" s="56"/>
      <c r="CO13" s="55">
        <f t="shared" si="4"/>
        <v>0</v>
      </c>
      <c r="CP13" s="56"/>
      <c r="CQ13" s="54"/>
      <c r="CR13" s="54"/>
      <c r="CS13" s="55"/>
      <c r="CT13" s="55"/>
      <c r="CU13" s="55"/>
      <c r="CV13" s="54"/>
      <c r="CW13" s="54"/>
      <c r="CX13" s="54"/>
      <c r="CY13" s="54"/>
      <c r="CZ13" s="54"/>
      <c r="DA13" s="54"/>
      <c r="DB13" s="54"/>
      <c r="DC13" s="56"/>
      <c r="DD13" s="56"/>
      <c r="DE13" s="55"/>
      <c r="DF13" s="56">
        <f t="shared" si="5"/>
        <v>0</v>
      </c>
      <c r="DG13" s="55"/>
      <c r="DH13" s="55">
        <f t="shared" si="6"/>
        <v>2</v>
      </c>
      <c r="DI13" s="55">
        <f t="shared" si="7"/>
        <v>0</v>
      </c>
      <c r="DJ13" s="54">
        <f t="shared" si="8"/>
        <v>0</v>
      </c>
      <c r="DK13" s="54">
        <f t="shared" si="9"/>
        <v>2</v>
      </c>
    </row>
    <row r="14" spans="1:115" x14ac:dyDescent="0.35">
      <c r="A14" s="57"/>
      <c r="B14" s="58" t="s">
        <v>61</v>
      </c>
      <c r="C14" s="59">
        <v>6</v>
      </c>
      <c r="D14" s="58">
        <v>969</v>
      </c>
      <c r="E14" s="60">
        <v>100840712</v>
      </c>
      <c r="F14" s="61" t="s">
        <v>62</v>
      </c>
      <c r="G14" s="62">
        <v>0</v>
      </c>
      <c r="H14" s="62"/>
      <c r="I14" s="63"/>
      <c r="J14" s="63"/>
      <c r="K14" s="63"/>
      <c r="L14" s="63"/>
      <c r="M14" s="64"/>
      <c r="N14" s="64"/>
      <c r="O14" s="64"/>
      <c r="P14" s="64"/>
      <c r="Q14" s="63"/>
      <c r="R14" s="63"/>
      <c r="S14" s="63"/>
      <c r="T14" s="63"/>
      <c r="U14" s="63"/>
      <c r="V14" s="63"/>
      <c r="W14" s="63"/>
      <c r="X14" s="64"/>
      <c r="Y14" s="64">
        <f t="shared" si="0"/>
        <v>0</v>
      </c>
      <c r="Z14" s="64"/>
      <c r="AA14" s="63"/>
      <c r="AB14" s="64"/>
      <c r="AC14" s="64"/>
      <c r="AD14" s="64">
        <v>2</v>
      </c>
      <c r="AE14" s="64"/>
      <c r="AF14" s="63"/>
      <c r="AG14" s="64"/>
      <c r="AH14" s="63"/>
      <c r="AI14" s="63"/>
      <c r="AJ14" s="63"/>
      <c r="AK14" s="63"/>
      <c r="AL14" s="63"/>
      <c r="AM14" s="63"/>
      <c r="AN14" s="63"/>
      <c r="AO14" s="64"/>
      <c r="AP14" s="64">
        <f t="shared" si="1"/>
        <v>2</v>
      </c>
      <c r="AQ14" s="63"/>
      <c r="AR14" s="63"/>
      <c r="AS14" s="64"/>
      <c r="AT14" s="63"/>
      <c r="AU14" s="63"/>
      <c r="AV14" s="63"/>
      <c r="AW14" s="63"/>
      <c r="AX14" s="63"/>
      <c r="AY14" s="63"/>
      <c r="AZ14" s="63"/>
      <c r="BA14" s="63"/>
      <c r="BB14" s="63"/>
      <c r="BC14" s="63"/>
      <c r="BD14" s="63"/>
      <c r="BE14" s="63"/>
      <c r="BF14" s="63"/>
      <c r="BG14" s="64">
        <f t="shared" si="2"/>
        <v>0</v>
      </c>
      <c r="BH14" s="64"/>
      <c r="BI14" s="64"/>
      <c r="BJ14" s="63"/>
      <c r="BK14" s="63"/>
      <c r="BL14" s="64"/>
      <c r="BM14" s="63"/>
      <c r="BN14" s="63"/>
      <c r="BO14" s="63"/>
      <c r="BP14" s="63"/>
      <c r="BQ14" s="64"/>
      <c r="BR14" s="63"/>
      <c r="BS14" s="63"/>
      <c r="BT14" s="63"/>
      <c r="BU14" s="63"/>
      <c r="BV14" s="63"/>
      <c r="BW14" s="63"/>
      <c r="BX14" s="64">
        <f t="shared" si="3"/>
        <v>0</v>
      </c>
      <c r="BY14" s="64"/>
      <c r="BZ14" s="63"/>
      <c r="CA14" s="63"/>
      <c r="CB14" s="63"/>
      <c r="CC14" s="63"/>
      <c r="CD14" s="63"/>
      <c r="CE14" s="63"/>
      <c r="CF14" s="63"/>
      <c r="CG14" s="63"/>
      <c r="CH14" s="63"/>
      <c r="CI14" s="64"/>
      <c r="CJ14" s="63"/>
      <c r="CK14" s="63"/>
      <c r="CL14" s="63"/>
      <c r="CM14" s="63"/>
      <c r="CN14" s="63"/>
      <c r="CO14" s="64">
        <f t="shared" si="4"/>
        <v>0</v>
      </c>
      <c r="CP14" s="63"/>
      <c r="CQ14" s="63"/>
      <c r="CR14" s="63"/>
      <c r="CS14" s="64"/>
      <c r="CT14" s="64"/>
      <c r="CU14" s="64"/>
      <c r="CV14" s="63"/>
      <c r="CW14" s="63"/>
      <c r="CX14" s="63"/>
      <c r="CY14" s="63"/>
      <c r="CZ14" s="63"/>
      <c r="DA14" s="63"/>
      <c r="DB14" s="63"/>
      <c r="DC14" s="63"/>
      <c r="DD14" s="63"/>
      <c r="DE14" s="64"/>
      <c r="DF14" s="63">
        <f t="shared" si="5"/>
        <v>0</v>
      </c>
      <c r="DG14" s="64"/>
      <c r="DH14" s="64">
        <f t="shared" si="6"/>
        <v>2</v>
      </c>
      <c r="DI14" s="64">
        <f t="shared" si="7"/>
        <v>0</v>
      </c>
      <c r="DJ14" s="63">
        <f t="shared" si="8"/>
        <v>0</v>
      </c>
      <c r="DK14" s="63">
        <f t="shared" si="9"/>
        <v>2</v>
      </c>
    </row>
    <row r="15" spans="1:115" x14ac:dyDescent="0.35">
      <c r="A15" s="46"/>
      <c r="B15" s="47" t="s">
        <v>53</v>
      </c>
      <c r="C15" s="48">
        <v>6</v>
      </c>
      <c r="D15" s="49">
        <v>9853</v>
      </c>
      <c r="E15" s="50">
        <v>100844923</v>
      </c>
      <c r="F15" s="51" t="s">
        <v>55</v>
      </c>
      <c r="G15" s="52">
        <v>0</v>
      </c>
      <c r="H15" s="52"/>
      <c r="I15" s="53"/>
      <c r="J15" s="54"/>
      <c r="K15" s="54"/>
      <c r="L15" s="54"/>
      <c r="M15" s="55"/>
      <c r="N15" s="55"/>
      <c r="O15" s="55"/>
      <c r="P15" s="55"/>
      <c r="Q15" s="54"/>
      <c r="R15" s="54"/>
      <c r="S15" s="54"/>
      <c r="T15" s="54"/>
      <c r="U15" s="54"/>
      <c r="V15" s="56"/>
      <c r="W15" s="56"/>
      <c r="X15" s="55"/>
      <c r="Y15" s="55">
        <f t="shared" si="0"/>
        <v>0</v>
      </c>
      <c r="Z15" s="55"/>
      <c r="AA15" s="54"/>
      <c r="AB15" s="55"/>
      <c r="AC15" s="55"/>
      <c r="AD15" s="55">
        <v>2</v>
      </c>
      <c r="AE15" s="55"/>
      <c r="AF15" s="54"/>
      <c r="AG15" s="55"/>
      <c r="AH15" s="54"/>
      <c r="AI15" s="54"/>
      <c r="AJ15" s="54"/>
      <c r="AK15" s="54"/>
      <c r="AL15" s="54"/>
      <c r="AM15" s="56"/>
      <c r="AN15" s="56"/>
      <c r="AO15" s="55"/>
      <c r="AP15" s="55">
        <f t="shared" si="1"/>
        <v>2</v>
      </c>
      <c r="AQ15" s="56"/>
      <c r="AR15" s="54"/>
      <c r="AS15" s="55"/>
      <c r="AT15" s="54"/>
      <c r="AU15" s="54"/>
      <c r="AV15" s="54"/>
      <c r="AW15" s="54"/>
      <c r="AX15" s="54"/>
      <c r="AY15" s="54"/>
      <c r="AZ15" s="54"/>
      <c r="BA15" s="54"/>
      <c r="BB15" s="54"/>
      <c r="BC15" s="54"/>
      <c r="BD15" s="54"/>
      <c r="BE15" s="56"/>
      <c r="BF15" s="56"/>
      <c r="BG15" s="55">
        <f t="shared" si="2"/>
        <v>0</v>
      </c>
      <c r="BH15" s="55"/>
      <c r="BI15" s="55"/>
      <c r="BJ15" s="54"/>
      <c r="BK15" s="54"/>
      <c r="BL15" s="55"/>
      <c r="BM15" s="54"/>
      <c r="BN15" s="54"/>
      <c r="BO15" s="54"/>
      <c r="BP15" s="54"/>
      <c r="BQ15" s="55"/>
      <c r="BR15" s="54"/>
      <c r="BS15" s="54"/>
      <c r="BT15" s="54"/>
      <c r="BU15" s="54"/>
      <c r="BV15" s="56"/>
      <c r="BW15" s="56"/>
      <c r="BX15" s="55">
        <f t="shared" si="3"/>
        <v>0</v>
      </c>
      <c r="BY15" s="55"/>
      <c r="BZ15" s="54"/>
      <c r="CA15" s="54"/>
      <c r="CB15" s="54"/>
      <c r="CC15" s="54"/>
      <c r="CD15" s="54"/>
      <c r="CE15" s="54"/>
      <c r="CF15" s="54"/>
      <c r="CG15" s="54"/>
      <c r="CH15" s="54"/>
      <c r="CI15" s="55"/>
      <c r="CJ15" s="54"/>
      <c r="CK15" s="54"/>
      <c r="CL15" s="54"/>
      <c r="CM15" s="56"/>
      <c r="CN15" s="56"/>
      <c r="CO15" s="55">
        <f t="shared" si="4"/>
        <v>0</v>
      </c>
      <c r="CP15" s="56"/>
      <c r="CQ15" s="54"/>
      <c r="CR15" s="54"/>
      <c r="CS15" s="55"/>
      <c r="CT15" s="55"/>
      <c r="CU15" s="55"/>
      <c r="CV15" s="54"/>
      <c r="CW15" s="54"/>
      <c r="CX15" s="54"/>
      <c r="CY15" s="54"/>
      <c r="CZ15" s="54"/>
      <c r="DA15" s="54"/>
      <c r="DB15" s="54"/>
      <c r="DC15" s="56"/>
      <c r="DD15" s="56"/>
      <c r="DE15" s="55"/>
      <c r="DF15" s="56">
        <f t="shared" si="5"/>
        <v>0</v>
      </c>
      <c r="DG15" s="55"/>
      <c r="DH15" s="55">
        <f t="shared" si="6"/>
        <v>2</v>
      </c>
      <c r="DI15" s="55">
        <f t="shared" si="7"/>
        <v>0</v>
      </c>
      <c r="DJ15" s="54">
        <f t="shared" si="8"/>
        <v>0</v>
      </c>
      <c r="DK15" s="54">
        <f t="shared" si="9"/>
        <v>2</v>
      </c>
    </row>
    <row r="16" spans="1:115" x14ac:dyDescent="0.35">
      <c r="A16" s="57"/>
      <c r="B16" s="58" t="s">
        <v>53</v>
      </c>
      <c r="C16" s="59">
        <v>5</v>
      </c>
      <c r="D16" s="58">
        <v>9771</v>
      </c>
      <c r="E16" s="60">
        <v>100839896</v>
      </c>
      <c r="F16" s="61" t="s">
        <v>54</v>
      </c>
      <c r="G16" s="62">
        <v>0</v>
      </c>
      <c r="H16" s="62"/>
      <c r="I16" s="63"/>
      <c r="J16" s="63"/>
      <c r="K16" s="63"/>
      <c r="L16" s="63"/>
      <c r="M16" s="64"/>
      <c r="N16" s="64"/>
      <c r="O16" s="64"/>
      <c r="P16" s="64"/>
      <c r="Q16" s="63"/>
      <c r="R16" s="63"/>
      <c r="S16" s="63"/>
      <c r="T16" s="63"/>
      <c r="U16" s="63"/>
      <c r="V16" s="63"/>
      <c r="W16" s="63"/>
      <c r="X16" s="64"/>
      <c r="Y16" s="64">
        <f t="shared" si="0"/>
        <v>0</v>
      </c>
      <c r="Z16" s="64"/>
      <c r="AA16" s="63"/>
      <c r="AB16" s="64">
        <v>2</v>
      </c>
      <c r="AC16" s="64"/>
      <c r="AD16" s="64">
        <v>2</v>
      </c>
      <c r="AE16" s="64"/>
      <c r="AF16" s="63"/>
      <c r="AG16" s="64"/>
      <c r="AH16" s="63"/>
      <c r="AI16" s="63"/>
      <c r="AJ16" s="63"/>
      <c r="AK16" s="63"/>
      <c r="AL16" s="63"/>
      <c r="AM16" s="63"/>
      <c r="AN16" s="63"/>
      <c r="AO16" s="64"/>
      <c r="AP16" s="64">
        <f t="shared" si="1"/>
        <v>4</v>
      </c>
      <c r="AQ16" s="63"/>
      <c r="AR16" s="63">
        <v>2</v>
      </c>
      <c r="AS16" s="64"/>
      <c r="AT16" s="63">
        <v>2</v>
      </c>
      <c r="AU16" s="63"/>
      <c r="AV16" s="63"/>
      <c r="AW16" s="63"/>
      <c r="AX16" s="63">
        <v>2</v>
      </c>
      <c r="AY16" s="63"/>
      <c r="AZ16" s="63">
        <v>2</v>
      </c>
      <c r="BA16" s="63"/>
      <c r="BB16" s="63">
        <v>2</v>
      </c>
      <c r="BC16" s="63"/>
      <c r="BD16" s="63"/>
      <c r="BE16" s="63"/>
      <c r="BF16" s="63"/>
      <c r="BG16" s="64">
        <f t="shared" si="2"/>
        <v>10</v>
      </c>
      <c r="BH16" s="64"/>
      <c r="BI16" s="64"/>
      <c r="BJ16" s="63"/>
      <c r="BK16" s="63"/>
      <c r="BL16" s="64"/>
      <c r="BM16" s="63"/>
      <c r="BN16" s="63"/>
      <c r="BO16" s="63"/>
      <c r="BP16" s="63"/>
      <c r="BQ16" s="64"/>
      <c r="BR16" s="63"/>
      <c r="BS16" s="63"/>
      <c r="BT16" s="63"/>
      <c r="BU16" s="63"/>
      <c r="BV16" s="63"/>
      <c r="BW16" s="63"/>
      <c r="BX16" s="64">
        <f t="shared" si="3"/>
        <v>0</v>
      </c>
      <c r="BY16" s="64"/>
      <c r="BZ16" s="63"/>
      <c r="CA16" s="63"/>
      <c r="CB16" s="63"/>
      <c r="CC16" s="63"/>
      <c r="CD16" s="63"/>
      <c r="CE16" s="63"/>
      <c r="CF16" s="63"/>
      <c r="CG16" s="63"/>
      <c r="CH16" s="63"/>
      <c r="CI16" s="64"/>
      <c r="CJ16" s="63"/>
      <c r="CK16" s="63"/>
      <c r="CL16" s="63"/>
      <c r="CM16" s="63"/>
      <c r="CN16" s="63"/>
      <c r="CO16" s="64">
        <f t="shared" si="4"/>
        <v>0</v>
      </c>
      <c r="CP16" s="63"/>
      <c r="CQ16" s="63"/>
      <c r="CR16" s="63"/>
      <c r="CS16" s="64"/>
      <c r="CT16" s="64"/>
      <c r="CU16" s="64"/>
      <c r="CV16" s="63"/>
      <c r="CW16" s="63"/>
      <c r="CX16" s="63"/>
      <c r="CY16" s="63"/>
      <c r="CZ16" s="63"/>
      <c r="DA16" s="63"/>
      <c r="DB16" s="63"/>
      <c r="DC16" s="63"/>
      <c r="DD16" s="63"/>
      <c r="DE16" s="64"/>
      <c r="DF16" s="63">
        <f t="shared" si="5"/>
        <v>0</v>
      </c>
      <c r="DG16" s="64"/>
      <c r="DH16" s="64">
        <f t="shared" si="6"/>
        <v>14</v>
      </c>
      <c r="DI16" s="64">
        <f t="shared" si="7"/>
        <v>0</v>
      </c>
      <c r="DJ16" s="63">
        <f t="shared" si="8"/>
        <v>0</v>
      </c>
      <c r="DK16" s="63">
        <f t="shared" si="9"/>
        <v>14</v>
      </c>
    </row>
    <row r="17" spans="1:115" x14ac:dyDescent="0.35">
      <c r="A17" s="46"/>
      <c r="B17" s="47" t="s">
        <v>53</v>
      </c>
      <c r="C17" s="48">
        <v>6</v>
      </c>
      <c r="D17" s="49">
        <v>9607</v>
      </c>
      <c r="E17" s="50">
        <v>100846476</v>
      </c>
      <c r="F17" s="51" t="s">
        <v>56</v>
      </c>
      <c r="G17" s="52">
        <v>0</v>
      </c>
      <c r="H17" s="52"/>
      <c r="I17" s="53"/>
      <c r="J17" s="54"/>
      <c r="K17" s="54"/>
      <c r="L17" s="54"/>
      <c r="M17" s="55"/>
      <c r="N17" s="55"/>
      <c r="O17" s="55"/>
      <c r="P17" s="55"/>
      <c r="Q17" s="54"/>
      <c r="R17" s="54"/>
      <c r="S17" s="54"/>
      <c r="T17" s="54"/>
      <c r="U17" s="54"/>
      <c r="V17" s="56"/>
      <c r="W17" s="56"/>
      <c r="X17" s="55"/>
      <c r="Y17" s="55">
        <f t="shared" si="0"/>
        <v>0</v>
      </c>
      <c r="Z17" s="55"/>
      <c r="AA17" s="54"/>
      <c r="AB17" s="55"/>
      <c r="AC17" s="55"/>
      <c r="AD17" s="55">
        <v>2</v>
      </c>
      <c r="AE17" s="55">
        <v>2</v>
      </c>
      <c r="AF17" s="54"/>
      <c r="AG17" s="55">
        <v>2</v>
      </c>
      <c r="AH17" s="54"/>
      <c r="AI17" s="54"/>
      <c r="AJ17" s="54"/>
      <c r="AK17" s="54"/>
      <c r="AL17" s="54"/>
      <c r="AM17" s="56"/>
      <c r="AN17" s="56"/>
      <c r="AO17" s="55"/>
      <c r="AP17" s="55">
        <f t="shared" si="1"/>
        <v>6</v>
      </c>
      <c r="AQ17" s="56"/>
      <c r="AR17" s="54"/>
      <c r="AS17" s="55"/>
      <c r="AT17" s="54"/>
      <c r="AU17" s="54"/>
      <c r="AV17" s="54"/>
      <c r="AW17" s="54"/>
      <c r="AX17" s="54">
        <v>2</v>
      </c>
      <c r="AY17" s="54"/>
      <c r="AZ17" s="54"/>
      <c r="BA17" s="54"/>
      <c r="BB17" s="54"/>
      <c r="BC17" s="54"/>
      <c r="BD17" s="54"/>
      <c r="BE17" s="56"/>
      <c r="BF17" s="56"/>
      <c r="BG17" s="55">
        <f t="shared" si="2"/>
        <v>2</v>
      </c>
      <c r="BH17" s="55"/>
      <c r="BI17" s="55"/>
      <c r="BJ17" s="54"/>
      <c r="BK17" s="54"/>
      <c r="BL17" s="55"/>
      <c r="BM17" s="54"/>
      <c r="BN17" s="54"/>
      <c r="BO17" s="54"/>
      <c r="BP17" s="54"/>
      <c r="BQ17" s="55"/>
      <c r="BR17" s="54"/>
      <c r="BS17" s="54"/>
      <c r="BT17" s="54"/>
      <c r="BU17" s="54"/>
      <c r="BV17" s="56"/>
      <c r="BW17" s="56"/>
      <c r="BX17" s="55">
        <f t="shared" si="3"/>
        <v>0</v>
      </c>
      <c r="BY17" s="55"/>
      <c r="BZ17" s="54"/>
      <c r="CA17" s="54"/>
      <c r="CB17" s="54"/>
      <c r="CC17" s="54"/>
      <c r="CD17" s="54"/>
      <c r="CE17" s="54"/>
      <c r="CF17" s="54"/>
      <c r="CG17" s="54"/>
      <c r="CH17" s="54"/>
      <c r="CI17" s="55"/>
      <c r="CJ17" s="54"/>
      <c r="CK17" s="54"/>
      <c r="CL17" s="54"/>
      <c r="CM17" s="56"/>
      <c r="CN17" s="56"/>
      <c r="CO17" s="55">
        <f t="shared" si="4"/>
        <v>0</v>
      </c>
      <c r="CP17" s="56"/>
      <c r="CQ17" s="54"/>
      <c r="CR17" s="54"/>
      <c r="CS17" s="55"/>
      <c r="CT17" s="55"/>
      <c r="CU17" s="55"/>
      <c r="CV17" s="54"/>
      <c r="CW17" s="54"/>
      <c r="CX17" s="54"/>
      <c r="CY17" s="54"/>
      <c r="CZ17" s="54"/>
      <c r="DA17" s="54"/>
      <c r="DB17" s="54"/>
      <c r="DC17" s="56"/>
      <c r="DD17" s="56"/>
      <c r="DE17" s="55"/>
      <c r="DF17" s="56">
        <f t="shared" si="5"/>
        <v>0</v>
      </c>
      <c r="DG17" s="55"/>
      <c r="DH17" s="55">
        <f t="shared" si="6"/>
        <v>8</v>
      </c>
      <c r="DI17" s="55">
        <f t="shared" si="7"/>
        <v>0</v>
      </c>
      <c r="DJ17" s="54">
        <f t="shared" si="8"/>
        <v>0</v>
      </c>
      <c r="DK17" s="54">
        <f t="shared" si="9"/>
        <v>8</v>
      </c>
    </row>
    <row r="18" spans="1:115" x14ac:dyDescent="0.35">
      <c r="A18" s="57"/>
      <c r="B18" s="58" t="s">
        <v>32</v>
      </c>
      <c r="C18" s="59">
        <v>8</v>
      </c>
      <c r="D18" s="58">
        <v>1845</v>
      </c>
      <c r="E18" s="60">
        <v>100842349</v>
      </c>
      <c r="F18" s="61" t="s">
        <v>38</v>
      </c>
      <c r="G18" s="62">
        <v>0</v>
      </c>
      <c r="H18" s="62"/>
      <c r="I18" s="63"/>
      <c r="J18" s="63"/>
      <c r="K18" s="63"/>
      <c r="L18" s="63"/>
      <c r="M18" s="64"/>
      <c r="N18" s="64"/>
      <c r="O18" s="64"/>
      <c r="P18" s="64"/>
      <c r="Q18" s="63"/>
      <c r="R18" s="63"/>
      <c r="S18" s="63"/>
      <c r="T18" s="63"/>
      <c r="U18" s="63"/>
      <c r="V18" s="63"/>
      <c r="W18" s="63"/>
      <c r="X18" s="64"/>
      <c r="Y18" s="64">
        <f t="shared" si="0"/>
        <v>0</v>
      </c>
      <c r="Z18" s="64"/>
      <c r="AA18" s="63"/>
      <c r="AB18" s="64"/>
      <c r="AC18" s="64"/>
      <c r="AD18" s="64">
        <v>2</v>
      </c>
      <c r="AE18" s="64"/>
      <c r="AF18" s="63"/>
      <c r="AG18" s="64"/>
      <c r="AH18" s="63"/>
      <c r="AI18" s="63"/>
      <c r="AJ18" s="63"/>
      <c r="AK18" s="63"/>
      <c r="AL18" s="63"/>
      <c r="AM18" s="63"/>
      <c r="AN18" s="63"/>
      <c r="AO18" s="64"/>
      <c r="AP18" s="64">
        <f t="shared" si="1"/>
        <v>2</v>
      </c>
      <c r="AQ18" s="63"/>
      <c r="AR18" s="63">
        <v>2</v>
      </c>
      <c r="AS18" s="64"/>
      <c r="AT18" s="63"/>
      <c r="AU18" s="63">
        <v>2</v>
      </c>
      <c r="AV18" s="63"/>
      <c r="AW18" s="63"/>
      <c r="AX18" s="63"/>
      <c r="AY18" s="63"/>
      <c r="AZ18" s="63">
        <v>2</v>
      </c>
      <c r="BA18" s="63"/>
      <c r="BB18" s="63"/>
      <c r="BC18" s="63"/>
      <c r="BD18" s="63"/>
      <c r="BE18" s="63"/>
      <c r="BF18" s="63"/>
      <c r="BG18" s="64">
        <f t="shared" si="2"/>
        <v>6</v>
      </c>
      <c r="BH18" s="64"/>
      <c r="BI18" s="64"/>
      <c r="BJ18" s="63"/>
      <c r="BK18" s="63"/>
      <c r="BL18" s="64"/>
      <c r="BM18" s="63"/>
      <c r="BN18" s="63"/>
      <c r="BO18" s="63"/>
      <c r="BP18" s="63"/>
      <c r="BQ18" s="64"/>
      <c r="BR18" s="63"/>
      <c r="BS18" s="63"/>
      <c r="BT18" s="63"/>
      <c r="BU18" s="63"/>
      <c r="BV18" s="63"/>
      <c r="BW18" s="63"/>
      <c r="BX18" s="64">
        <f t="shared" si="3"/>
        <v>0</v>
      </c>
      <c r="BY18" s="64"/>
      <c r="BZ18" s="63"/>
      <c r="CA18" s="63"/>
      <c r="CB18" s="63"/>
      <c r="CC18" s="63"/>
      <c r="CD18" s="63"/>
      <c r="CE18" s="63"/>
      <c r="CF18" s="63"/>
      <c r="CG18" s="63"/>
      <c r="CH18" s="63"/>
      <c r="CI18" s="64"/>
      <c r="CJ18" s="63"/>
      <c r="CK18" s="63"/>
      <c r="CL18" s="63"/>
      <c r="CM18" s="63"/>
      <c r="CN18" s="63"/>
      <c r="CO18" s="64">
        <f t="shared" si="4"/>
        <v>0</v>
      </c>
      <c r="CP18" s="63"/>
      <c r="CQ18" s="63"/>
      <c r="CR18" s="63"/>
      <c r="CS18" s="64"/>
      <c r="CT18" s="64"/>
      <c r="CU18" s="64"/>
      <c r="CV18" s="63"/>
      <c r="CW18" s="63"/>
      <c r="CX18" s="63"/>
      <c r="CY18" s="63"/>
      <c r="CZ18" s="63"/>
      <c r="DA18" s="63"/>
      <c r="DB18" s="63"/>
      <c r="DC18" s="63"/>
      <c r="DD18" s="63"/>
      <c r="DE18" s="64"/>
      <c r="DF18" s="63">
        <f t="shared" si="5"/>
        <v>0</v>
      </c>
      <c r="DG18" s="64"/>
      <c r="DH18" s="64">
        <f t="shared" si="6"/>
        <v>8</v>
      </c>
      <c r="DI18" s="64">
        <f t="shared" si="7"/>
        <v>0</v>
      </c>
      <c r="DJ18" s="63">
        <f t="shared" si="8"/>
        <v>0</v>
      </c>
      <c r="DK18" s="63">
        <f t="shared" si="9"/>
        <v>8</v>
      </c>
    </row>
    <row r="19" spans="1:115" x14ac:dyDescent="0.35">
      <c r="A19" s="46"/>
      <c r="B19" s="47" t="s">
        <v>32</v>
      </c>
      <c r="C19" s="48">
        <v>6</v>
      </c>
      <c r="D19" s="49">
        <v>1934</v>
      </c>
      <c r="E19" s="50">
        <v>100845834</v>
      </c>
      <c r="F19" s="51" t="s">
        <v>35</v>
      </c>
      <c r="G19" s="52">
        <v>2</v>
      </c>
      <c r="H19" s="52"/>
      <c r="I19" s="53"/>
      <c r="J19" s="54"/>
      <c r="K19" s="54"/>
      <c r="L19" s="54"/>
      <c r="M19" s="55"/>
      <c r="N19" s="55"/>
      <c r="O19" s="55"/>
      <c r="P19" s="55"/>
      <c r="Q19" s="54"/>
      <c r="R19" s="54"/>
      <c r="S19" s="54"/>
      <c r="T19" s="54"/>
      <c r="U19" s="54"/>
      <c r="V19" s="56"/>
      <c r="W19" s="56"/>
      <c r="X19" s="55"/>
      <c r="Y19" s="55">
        <f t="shared" si="0"/>
        <v>0</v>
      </c>
      <c r="Z19" s="55"/>
      <c r="AA19" s="54"/>
      <c r="AB19" s="55"/>
      <c r="AC19" s="55">
        <v>2</v>
      </c>
      <c r="AD19" s="55">
        <v>2</v>
      </c>
      <c r="AE19" s="55">
        <v>2</v>
      </c>
      <c r="AF19" s="54"/>
      <c r="AG19" s="55"/>
      <c r="AH19" s="54"/>
      <c r="AI19" s="54"/>
      <c r="AJ19" s="54"/>
      <c r="AK19" s="54"/>
      <c r="AL19" s="54"/>
      <c r="AM19" s="56"/>
      <c r="AN19" s="56"/>
      <c r="AO19" s="55"/>
      <c r="AP19" s="55">
        <f t="shared" si="1"/>
        <v>6</v>
      </c>
      <c r="AQ19" s="56"/>
      <c r="AR19" s="54"/>
      <c r="AS19" s="55"/>
      <c r="AT19" s="54"/>
      <c r="AU19" s="54"/>
      <c r="AV19" s="54"/>
      <c r="AW19" s="54">
        <v>2</v>
      </c>
      <c r="AX19" s="54"/>
      <c r="AY19" s="54"/>
      <c r="AZ19" s="54"/>
      <c r="BA19" s="54"/>
      <c r="BB19" s="54"/>
      <c r="BC19" s="54"/>
      <c r="BD19" s="54"/>
      <c r="BE19" s="56"/>
      <c r="BF19" s="56"/>
      <c r="BG19" s="55">
        <f t="shared" si="2"/>
        <v>2</v>
      </c>
      <c r="BH19" s="55"/>
      <c r="BI19" s="55"/>
      <c r="BJ19" s="54"/>
      <c r="BK19" s="54"/>
      <c r="BL19" s="55"/>
      <c r="BM19" s="54"/>
      <c r="BN19" s="54"/>
      <c r="BO19" s="54"/>
      <c r="BP19" s="54"/>
      <c r="BQ19" s="55"/>
      <c r="BR19" s="54"/>
      <c r="BS19" s="54"/>
      <c r="BT19" s="54"/>
      <c r="BU19" s="54"/>
      <c r="BV19" s="56"/>
      <c r="BW19" s="56"/>
      <c r="BX19" s="55">
        <f t="shared" si="3"/>
        <v>0</v>
      </c>
      <c r="BY19" s="55"/>
      <c r="BZ19" s="54"/>
      <c r="CA19" s="54"/>
      <c r="CB19" s="54"/>
      <c r="CC19" s="54"/>
      <c r="CD19" s="54"/>
      <c r="CE19" s="54"/>
      <c r="CF19" s="54"/>
      <c r="CG19" s="54"/>
      <c r="CH19" s="54"/>
      <c r="CI19" s="55"/>
      <c r="CJ19" s="54"/>
      <c r="CK19" s="54"/>
      <c r="CL19" s="54"/>
      <c r="CM19" s="56"/>
      <c r="CN19" s="56"/>
      <c r="CO19" s="55">
        <f t="shared" si="4"/>
        <v>0</v>
      </c>
      <c r="CP19" s="56"/>
      <c r="CQ19" s="54"/>
      <c r="CR19" s="54"/>
      <c r="CS19" s="55"/>
      <c r="CT19" s="55"/>
      <c r="CU19" s="55"/>
      <c r="CV19" s="54"/>
      <c r="CW19" s="54"/>
      <c r="CX19" s="54"/>
      <c r="CY19" s="54"/>
      <c r="CZ19" s="54"/>
      <c r="DA19" s="54"/>
      <c r="DB19" s="54"/>
      <c r="DC19" s="56"/>
      <c r="DD19" s="56"/>
      <c r="DE19" s="55"/>
      <c r="DF19" s="56">
        <f t="shared" si="5"/>
        <v>0</v>
      </c>
      <c r="DG19" s="55"/>
      <c r="DH19" s="55">
        <f t="shared" si="6"/>
        <v>8</v>
      </c>
      <c r="DI19" s="55">
        <f t="shared" si="7"/>
        <v>0</v>
      </c>
      <c r="DJ19" s="54">
        <f t="shared" si="8"/>
        <v>2</v>
      </c>
      <c r="DK19" s="54">
        <f t="shared" si="9"/>
        <v>6</v>
      </c>
    </row>
    <row r="20" spans="1:115" x14ac:dyDescent="0.35">
      <c r="A20" s="57"/>
      <c r="B20" s="58" t="s">
        <v>53</v>
      </c>
      <c r="C20" s="59">
        <v>6</v>
      </c>
      <c r="D20" s="58">
        <v>9748</v>
      </c>
      <c r="E20" s="60">
        <v>100846128</v>
      </c>
      <c r="F20" s="61" t="s">
        <v>57</v>
      </c>
      <c r="G20" s="62">
        <v>2</v>
      </c>
      <c r="H20" s="62"/>
      <c r="I20" s="63"/>
      <c r="J20" s="63"/>
      <c r="K20" s="63"/>
      <c r="L20" s="63"/>
      <c r="M20" s="64"/>
      <c r="N20" s="64"/>
      <c r="O20" s="64"/>
      <c r="P20" s="64"/>
      <c r="Q20" s="63"/>
      <c r="R20" s="63"/>
      <c r="S20" s="63"/>
      <c r="T20" s="63"/>
      <c r="U20" s="63"/>
      <c r="V20" s="63"/>
      <c r="W20" s="63"/>
      <c r="X20" s="64"/>
      <c r="Y20" s="64">
        <f t="shared" si="0"/>
        <v>0</v>
      </c>
      <c r="Z20" s="64"/>
      <c r="AA20" s="63"/>
      <c r="AB20" s="64"/>
      <c r="AC20" s="64"/>
      <c r="AD20" s="64">
        <v>2</v>
      </c>
      <c r="AE20" s="64"/>
      <c r="AF20" s="63"/>
      <c r="AG20" s="64">
        <v>2</v>
      </c>
      <c r="AH20" s="63">
        <v>2</v>
      </c>
      <c r="AI20" s="63"/>
      <c r="AJ20" s="63"/>
      <c r="AK20" s="63"/>
      <c r="AL20" s="63"/>
      <c r="AM20" s="63"/>
      <c r="AN20" s="63"/>
      <c r="AO20" s="64"/>
      <c r="AP20" s="64">
        <f t="shared" si="1"/>
        <v>6</v>
      </c>
      <c r="AQ20" s="63"/>
      <c r="AR20" s="63"/>
      <c r="AS20" s="64"/>
      <c r="AT20" s="63"/>
      <c r="AU20" s="63"/>
      <c r="AV20" s="63"/>
      <c r="AW20" s="63">
        <v>2</v>
      </c>
      <c r="AX20" s="63">
        <v>2</v>
      </c>
      <c r="AY20" s="63">
        <v>2</v>
      </c>
      <c r="AZ20" s="63"/>
      <c r="BA20" s="63">
        <v>2</v>
      </c>
      <c r="BB20" s="63">
        <v>2</v>
      </c>
      <c r="BC20" s="63"/>
      <c r="BD20" s="63"/>
      <c r="BE20" s="63"/>
      <c r="BF20" s="63"/>
      <c r="BG20" s="64">
        <f t="shared" si="2"/>
        <v>10</v>
      </c>
      <c r="BH20" s="64"/>
      <c r="BI20" s="64"/>
      <c r="BJ20" s="63"/>
      <c r="BK20" s="63"/>
      <c r="BL20" s="64"/>
      <c r="BM20" s="63"/>
      <c r="BN20" s="63"/>
      <c r="BO20" s="63"/>
      <c r="BP20" s="63"/>
      <c r="BQ20" s="64"/>
      <c r="BR20" s="63"/>
      <c r="BS20" s="63"/>
      <c r="BT20" s="63"/>
      <c r="BU20" s="63"/>
      <c r="BV20" s="63"/>
      <c r="BW20" s="63"/>
      <c r="BX20" s="64">
        <f t="shared" si="3"/>
        <v>0</v>
      </c>
      <c r="BY20" s="64"/>
      <c r="BZ20" s="63"/>
      <c r="CA20" s="63"/>
      <c r="CB20" s="63"/>
      <c r="CC20" s="63"/>
      <c r="CD20" s="63"/>
      <c r="CE20" s="63"/>
      <c r="CF20" s="63"/>
      <c r="CG20" s="63"/>
      <c r="CH20" s="63"/>
      <c r="CI20" s="64"/>
      <c r="CJ20" s="63"/>
      <c r="CK20" s="63"/>
      <c r="CL20" s="63"/>
      <c r="CM20" s="63"/>
      <c r="CN20" s="63"/>
      <c r="CO20" s="64">
        <f t="shared" si="4"/>
        <v>0</v>
      </c>
      <c r="CP20" s="63"/>
      <c r="CQ20" s="63"/>
      <c r="CR20" s="63"/>
      <c r="CS20" s="64"/>
      <c r="CT20" s="64"/>
      <c r="CU20" s="64"/>
      <c r="CV20" s="63"/>
      <c r="CW20" s="63"/>
      <c r="CX20" s="63"/>
      <c r="CY20" s="63"/>
      <c r="CZ20" s="63"/>
      <c r="DA20" s="63"/>
      <c r="DB20" s="63"/>
      <c r="DC20" s="63"/>
      <c r="DD20" s="63"/>
      <c r="DE20" s="64"/>
      <c r="DF20" s="63">
        <f t="shared" si="5"/>
        <v>0</v>
      </c>
      <c r="DG20" s="64"/>
      <c r="DH20" s="64">
        <f t="shared" si="6"/>
        <v>16</v>
      </c>
      <c r="DI20" s="64">
        <f t="shared" si="7"/>
        <v>0</v>
      </c>
      <c r="DJ20" s="63">
        <f t="shared" si="8"/>
        <v>2</v>
      </c>
      <c r="DK20" s="63">
        <f t="shared" si="9"/>
        <v>14</v>
      </c>
    </row>
    <row r="21" spans="1:115" x14ac:dyDescent="0.35">
      <c r="A21" s="46"/>
      <c r="B21" s="47" t="s">
        <v>32</v>
      </c>
      <c r="C21" s="48">
        <v>5</v>
      </c>
      <c r="D21" s="49">
        <v>2093</v>
      </c>
      <c r="E21" s="50">
        <v>100840021</v>
      </c>
      <c r="F21" s="51" t="s">
        <v>33</v>
      </c>
      <c r="G21" s="52">
        <v>0</v>
      </c>
      <c r="H21" s="52"/>
      <c r="I21" s="53"/>
      <c r="J21" s="54"/>
      <c r="K21" s="54"/>
      <c r="L21" s="54"/>
      <c r="M21" s="55"/>
      <c r="N21" s="55"/>
      <c r="O21" s="55"/>
      <c r="P21" s="55"/>
      <c r="Q21" s="54"/>
      <c r="R21" s="54"/>
      <c r="S21" s="54"/>
      <c r="T21" s="54"/>
      <c r="U21" s="54"/>
      <c r="V21" s="56"/>
      <c r="W21" s="56"/>
      <c r="X21" s="55"/>
      <c r="Y21" s="55">
        <f t="shared" si="0"/>
        <v>0</v>
      </c>
      <c r="Z21" s="55"/>
      <c r="AA21" s="54"/>
      <c r="AB21" s="55"/>
      <c r="AC21" s="55"/>
      <c r="AD21" s="55">
        <v>2</v>
      </c>
      <c r="AE21" s="55"/>
      <c r="AF21" s="54">
        <v>2</v>
      </c>
      <c r="AG21" s="55"/>
      <c r="AH21" s="54"/>
      <c r="AI21" s="54"/>
      <c r="AJ21" s="54"/>
      <c r="AK21" s="54"/>
      <c r="AL21" s="54"/>
      <c r="AM21" s="56"/>
      <c r="AN21" s="56"/>
      <c r="AO21" s="55"/>
      <c r="AP21" s="55">
        <f t="shared" si="1"/>
        <v>4</v>
      </c>
      <c r="AQ21" s="56"/>
      <c r="AR21" s="54"/>
      <c r="AS21" s="55"/>
      <c r="AT21" s="54">
        <v>2</v>
      </c>
      <c r="AU21" s="54"/>
      <c r="AV21" s="54"/>
      <c r="AW21" s="54"/>
      <c r="AX21" s="54"/>
      <c r="AY21" s="54">
        <v>2</v>
      </c>
      <c r="AZ21" s="54">
        <v>2</v>
      </c>
      <c r="BA21" s="54"/>
      <c r="BB21" s="54"/>
      <c r="BC21" s="54"/>
      <c r="BD21" s="54"/>
      <c r="BE21" s="56"/>
      <c r="BF21" s="56"/>
      <c r="BG21" s="55">
        <f t="shared" si="2"/>
        <v>6</v>
      </c>
      <c r="BH21" s="55"/>
      <c r="BI21" s="55"/>
      <c r="BJ21" s="54"/>
      <c r="BK21" s="54"/>
      <c r="BL21" s="55"/>
      <c r="BM21" s="54"/>
      <c r="BN21" s="54"/>
      <c r="BO21" s="54"/>
      <c r="BP21" s="54"/>
      <c r="BQ21" s="55"/>
      <c r="BR21" s="54"/>
      <c r="BS21" s="54"/>
      <c r="BT21" s="54"/>
      <c r="BU21" s="54"/>
      <c r="BV21" s="56"/>
      <c r="BW21" s="56"/>
      <c r="BX21" s="55">
        <f t="shared" si="3"/>
        <v>0</v>
      </c>
      <c r="BY21" s="55"/>
      <c r="BZ21" s="54"/>
      <c r="CA21" s="54"/>
      <c r="CB21" s="54"/>
      <c r="CC21" s="54"/>
      <c r="CD21" s="54"/>
      <c r="CE21" s="54"/>
      <c r="CF21" s="54"/>
      <c r="CG21" s="54"/>
      <c r="CH21" s="54"/>
      <c r="CI21" s="55"/>
      <c r="CJ21" s="54"/>
      <c r="CK21" s="54"/>
      <c r="CL21" s="54"/>
      <c r="CM21" s="56"/>
      <c r="CN21" s="56"/>
      <c r="CO21" s="55">
        <f t="shared" si="4"/>
        <v>0</v>
      </c>
      <c r="CP21" s="56"/>
      <c r="CQ21" s="54"/>
      <c r="CR21" s="54"/>
      <c r="CS21" s="55"/>
      <c r="CT21" s="55"/>
      <c r="CU21" s="55"/>
      <c r="CV21" s="54"/>
      <c r="CW21" s="54"/>
      <c r="CX21" s="54"/>
      <c r="CY21" s="54"/>
      <c r="CZ21" s="54"/>
      <c r="DA21" s="54"/>
      <c r="DB21" s="54"/>
      <c r="DC21" s="56"/>
      <c r="DD21" s="56"/>
      <c r="DE21" s="55"/>
      <c r="DF21" s="56">
        <f t="shared" si="5"/>
        <v>0</v>
      </c>
      <c r="DG21" s="55"/>
      <c r="DH21" s="55">
        <f t="shared" si="6"/>
        <v>10</v>
      </c>
      <c r="DI21" s="55">
        <f t="shared" si="7"/>
        <v>0</v>
      </c>
      <c r="DJ21" s="54">
        <f t="shared" si="8"/>
        <v>0</v>
      </c>
      <c r="DK21" s="54">
        <f t="shared" si="9"/>
        <v>10</v>
      </c>
    </row>
    <row r="22" spans="1:115" x14ac:dyDescent="0.35">
      <c r="A22" s="57"/>
      <c r="B22" s="58" t="s">
        <v>53</v>
      </c>
      <c r="C22" s="59">
        <v>6</v>
      </c>
      <c r="D22" s="58">
        <v>9627</v>
      </c>
      <c r="E22" s="60">
        <v>100850698</v>
      </c>
      <c r="F22" s="61" t="s">
        <v>58</v>
      </c>
      <c r="G22" s="62">
        <v>0</v>
      </c>
      <c r="H22" s="62"/>
      <c r="I22" s="63"/>
      <c r="J22" s="63"/>
      <c r="K22" s="63"/>
      <c r="L22" s="63"/>
      <c r="M22" s="64"/>
      <c r="N22" s="64"/>
      <c r="O22" s="64"/>
      <c r="P22" s="64"/>
      <c r="Q22" s="63"/>
      <c r="R22" s="63"/>
      <c r="S22" s="63"/>
      <c r="T22" s="63"/>
      <c r="U22" s="63"/>
      <c r="V22" s="63"/>
      <c r="W22" s="63"/>
      <c r="X22" s="64"/>
      <c r="Y22" s="64">
        <f t="shared" si="0"/>
        <v>0</v>
      </c>
      <c r="Z22" s="64"/>
      <c r="AA22" s="63"/>
      <c r="AB22" s="64"/>
      <c r="AC22" s="64">
        <v>2</v>
      </c>
      <c r="AD22" s="64">
        <v>2</v>
      </c>
      <c r="AE22" s="64">
        <v>2</v>
      </c>
      <c r="AF22" s="63">
        <v>2</v>
      </c>
      <c r="AG22" s="64"/>
      <c r="AH22" s="63">
        <v>2</v>
      </c>
      <c r="AI22" s="63"/>
      <c r="AJ22" s="63"/>
      <c r="AK22" s="63"/>
      <c r="AL22" s="63"/>
      <c r="AM22" s="63"/>
      <c r="AN22" s="63"/>
      <c r="AO22" s="64"/>
      <c r="AP22" s="64">
        <f t="shared" si="1"/>
        <v>10</v>
      </c>
      <c r="AQ22" s="63"/>
      <c r="AR22" s="63">
        <v>2</v>
      </c>
      <c r="AS22" s="64">
        <v>2</v>
      </c>
      <c r="AT22" s="63"/>
      <c r="AU22" s="63">
        <v>2</v>
      </c>
      <c r="AV22" s="63"/>
      <c r="AW22" s="63"/>
      <c r="AX22" s="63"/>
      <c r="AY22" s="63"/>
      <c r="AZ22" s="63"/>
      <c r="BA22" s="63"/>
      <c r="BB22" s="63"/>
      <c r="BC22" s="63"/>
      <c r="BD22" s="63"/>
      <c r="BE22" s="63"/>
      <c r="BF22" s="63"/>
      <c r="BG22" s="64">
        <f t="shared" si="2"/>
        <v>6</v>
      </c>
      <c r="BH22" s="64"/>
      <c r="BI22" s="64"/>
      <c r="BJ22" s="63"/>
      <c r="BK22" s="63"/>
      <c r="BL22" s="64"/>
      <c r="BM22" s="63"/>
      <c r="BN22" s="63"/>
      <c r="BO22" s="63"/>
      <c r="BP22" s="63"/>
      <c r="BQ22" s="64"/>
      <c r="BR22" s="63"/>
      <c r="BS22" s="63"/>
      <c r="BT22" s="63"/>
      <c r="BU22" s="63"/>
      <c r="BV22" s="63"/>
      <c r="BW22" s="63"/>
      <c r="BX22" s="64">
        <f t="shared" si="3"/>
        <v>0</v>
      </c>
      <c r="BY22" s="64"/>
      <c r="BZ22" s="63"/>
      <c r="CA22" s="63"/>
      <c r="CB22" s="63"/>
      <c r="CC22" s="63"/>
      <c r="CD22" s="63"/>
      <c r="CE22" s="63"/>
      <c r="CF22" s="63"/>
      <c r="CG22" s="63"/>
      <c r="CH22" s="63"/>
      <c r="CI22" s="64"/>
      <c r="CJ22" s="63"/>
      <c r="CK22" s="63"/>
      <c r="CL22" s="63"/>
      <c r="CM22" s="63"/>
      <c r="CN22" s="63"/>
      <c r="CO22" s="64">
        <f t="shared" si="4"/>
        <v>0</v>
      </c>
      <c r="CP22" s="63"/>
      <c r="CQ22" s="63"/>
      <c r="CR22" s="63"/>
      <c r="CS22" s="64"/>
      <c r="CT22" s="64"/>
      <c r="CU22" s="64"/>
      <c r="CV22" s="63"/>
      <c r="CW22" s="63"/>
      <c r="CX22" s="63"/>
      <c r="CY22" s="63"/>
      <c r="CZ22" s="63"/>
      <c r="DA22" s="63"/>
      <c r="DB22" s="63"/>
      <c r="DC22" s="63"/>
      <c r="DD22" s="63"/>
      <c r="DE22" s="64"/>
      <c r="DF22" s="63">
        <f t="shared" si="5"/>
        <v>0</v>
      </c>
      <c r="DG22" s="64"/>
      <c r="DH22" s="64">
        <f t="shared" si="6"/>
        <v>16</v>
      </c>
      <c r="DI22" s="64">
        <f t="shared" si="7"/>
        <v>0</v>
      </c>
      <c r="DJ22" s="63">
        <f t="shared" si="8"/>
        <v>0</v>
      </c>
      <c r="DK22" s="63">
        <f t="shared" si="9"/>
        <v>16</v>
      </c>
    </row>
    <row r="23" spans="1:115" x14ac:dyDescent="0.35">
      <c r="A23" s="46"/>
      <c r="B23" s="47" t="s">
        <v>89</v>
      </c>
      <c r="C23" s="48">
        <v>5</v>
      </c>
      <c r="D23" s="49">
        <v>76</v>
      </c>
      <c r="E23" s="50">
        <v>100845435</v>
      </c>
      <c r="F23" s="51" t="s">
        <v>90</v>
      </c>
      <c r="G23" s="52">
        <v>0</v>
      </c>
      <c r="H23" s="52"/>
      <c r="I23" s="53"/>
      <c r="J23" s="54"/>
      <c r="K23" s="54"/>
      <c r="L23" s="54"/>
      <c r="M23" s="55"/>
      <c r="N23" s="55"/>
      <c r="O23" s="55"/>
      <c r="P23" s="55"/>
      <c r="Q23" s="54"/>
      <c r="R23" s="54"/>
      <c r="S23" s="54"/>
      <c r="T23" s="54"/>
      <c r="U23" s="54"/>
      <c r="V23" s="56"/>
      <c r="W23" s="56"/>
      <c r="X23" s="55"/>
      <c r="Y23" s="55">
        <f t="shared" si="0"/>
        <v>0</v>
      </c>
      <c r="Z23" s="55"/>
      <c r="AA23" s="54"/>
      <c r="AB23" s="55"/>
      <c r="AC23" s="55"/>
      <c r="AD23" s="55">
        <v>2</v>
      </c>
      <c r="AE23" s="55">
        <v>2</v>
      </c>
      <c r="AF23" s="54">
        <v>2</v>
      </c>
      <c r="AG23" s="55">
        <v>2</v>
      </c>
      <c r="AH23" s="54"/>
      <c r="AI23" s="54"/>
      <c r="AJ23" s="54"/>
      <c r="AK23" s="54"/>
      <c r="AL23" s="54"/>
      <c r="AM23" s="56"/>
      <c r="AN23" s="56"/>
      <c r="AO23" s="55"/>
      <c r="AP23" s="55">
        <f t="shared" si="1"/>
        <v>8</v>
      </c>
      <c r="AQ23" s="56"/>
      <c r="AR23" s="54">
        <v>2</v>
      </c>
      <c r="AS23" s="55"/>
      <c r="AT23" s="54">
        <v>2</v>
      </c>
      <c r="AU23" s="54">
        <v>2</v>
      </c>
      <c r="AV23" s="54"/>
      <c r="AW23" s="54">
        <v>2</v>
      </c>
      <c r="AX23" s="54"/>
      <c r="AY23" s="54"/>
      <c r="AZ23" s="54"/>
      <c r="BA23" s="54"/>
      <c r="BB23" s="54"/>
      <c r="BC23" s="54"/>
      <c r="BD23" s="54"/>
      <c r="BE23" s="56"/>
      <c r="BF23" s="56"/>
      <c r="BG23" s="55">
        <f t="shared" si="2"/>
        <v>8</v>
      </c>
      <c r="BH23" s="55"/>
      <c r="BI23" s="55"/>
      <c r="BJ23" s="54"/>
      <c r="BK23" s="54"/>
      <c r="BL23" s="55"/>
      <c r="BM23" s="54"/>
      <c r="BN23" s="54"/>
      <c r="BO23" s="54"/>
      <c r="BP23" s="54"/>
      <c r="BQ23" s="55"/>
      <c r="BR23" s="54"/>
      <c r="BS23" s="54"/>
      <c r="BT23" s="54"/>
      <c r="BU23" s="54"/>
      <c r="BV23" s="56"/>
      <c r="BW23" s="56"/>
      <c r="BX23" s="55">
        <f t="shared" si="3"/>
        <v>0</v>
      </c>
      <c r="BY23" s="55"/>
      <c r="BZ23" s="54"/>
      <c r="CA23" s="54"/>
      <c r="CB23" s="54"/>
      <c r="CC23" s="54"/>
      <c r="CD23" s="54"/>
      <c r="CE23" s="54"/>
      <c r="CF23" s="54"/>
      <c r="CG23" s="54"/>
      <c r="CH23" s="54"/>
      <c r="CI23" s="55"/>
      <c r="CJ23" s="54"/>
      <c r="CK23" s="54"/>
      <c r="CL23" s="54"/>
      <c r="CM23" s="56"/>
      <c r="CN23" s="56"/>
      <c r="CO23" s="55">
        <f t="shared" si="4"/>
        <v>0</v>
      </c>
      <c r="CP23" s="56"/>
      <c r="CQ23" s="54"/>
      <c r="CR23" s="54"/>
      <c r="CS23" s="55"/>
      <c r="CT23" s="55"/>
      <c r="CU23" s="55"/>
      <c r="CV23" s="54"/>
      <c r="CW23" s="54"/>
      <c r="CX23" s="54"/>
      <c r="CY23" s="54"/>
      <c r="CZ23" s="54"/>
      <c r="DA23" s="54"/>
      <c r="DB23" s="54"/>
      <c r="DC23" s="56"/>
      <c r="DD23" s="56"/>
      <c r="DE23" s="55"/>
      <c r="DF23" s="56">
        <f t="shared" si="5"/>
        <v>0</v>
      </c>
      <c r="DG23" s="55"/>
      <c r="DH23" s="55">
        <f t="shared" si="6"/>
        <v>16</v>
      </c>
      <c r="DI23" s="55">
        <f t="shared" si="7"/>
        <v>0</v>
      </c>
      <c r="DJ23" s="54">
        <f t="shared" si="8"/>
        <v>0</v>
      </c>
      <c r="DK23" s="54">
        <f t="shared" si="9"/>
        <v>16</v>
      </c>
    </row>
    <row r="24" spans="1:115" x14ac:dyDescent="0.35">
      <c r="A24" s="57"/>
      <c r="B24" s="58" t="s">
        <v>61</v>
      </c>
      <c r="C24" s="59">
        <v>7</v>
      </c>
      <c r="D24" s="58">
        <v>968</v>
      </c>
      <c r="E24" s="60">
        <v>100846005</v>
      </c>
      <c r="F24" s="61" t="s">
        <v>65</v>
      </c>
      <c r="G24" s="62">
        <v>0</v>
      </c>
      <c r="H24" s="62"/>
      <c r="I24" s="63"/>
      <c r="J24" s="63"/>
      <c r="K24" s="63"/>
      <c r="L24" s="63"/>
      <c r="M24" s="64"/>
      <c r="N24" s="64"/>
      <c r="O24" s="64"/>
      <c r="P24" s="64"/>
      <c r="Q24" s="63"/>
      <c r="R24" s="63"/>
      <c r="S24" s="63"/>
      <c r="T24" s="63"/>
      <c r="U24" s="63"/>
      <c r="V24" s="63"/>
      <c r="W24" s="63"/>
      <c r="X24" s="64"/>
      <c r="Y24" s="64">
        <f t="shared" si="0"/>
        <v>0</v>
      </c>
      <c r="Z24" s="64"/>
      <c r="AA24" s="63"/>
      <c r="AB24" s="64"/>
      <c r="AC24" s="64"/>
      <c r="AD24" s="64">
        <v>2</v>
      </c>
      <c r="AE24" s="64"/>
      <c r="AF24" s="63"/>
      <c r="AG24" s="64"/>
      <c r="AH24" s="63"/>
      <c r="AI24" s="63"/>
      <c r="AJ24" s="63"/>
      <c r="AK24" s="63"/>
      <c r="AL24" s="63"/>
      <c r="AM24" s="63"/>
      <c r="AN24" s="63"/>
      <c r="AO24" s="64"/>
      <c r="AP24" s="64">
        <f t="shared" si="1"/>
        <v>2</v>
      </c>
      <c r="AQ24" s="63"/>
      <c r="AR24" s="63">
        <v>2</v>
      </c>
      <c r="AS24" s="64"/>
      <c r="AT24" s="63"/>
      <c r="AU24" s="63"/>
      <c r="AV24" s="63"/>
      <c r="AW24" s="63"/>
      <c r="AX24" s="63"/>
      <c r="AY24" s="63"/>
      <c r="AZ24" s="63">
        <v>2</v>
      </c>
      <c r="BA24" s="63"/>
      <c r="BB24" s="63"/>
      <c r="BC24" s="63"/>
      <c r="BD24" s="63"/>
      <c r="BE24" s="63"/>
      <c r="BF24" s="63"/>
      <c r="BG24" s="64">
        <f t="shared" si="2"/>
        <v>4</v>
      </c>
      <c r="BH24" s="64"/>
      <c r="BI24" s="64"/>
      <c r="BJ24" s="63"/>
      <c r="BK24" s="63"/>
      <c r="BL24" s="64"/>
      <c r="BM24" s="63"/>
      <c r="BN24" s="63"/>
      <c r="BO24" s="63"/>
      <c r="BP24" s="63"/>
      <c r="BQ24" s="64"/>
      <c r="BR24" s="63"/>
      <c r="BS24" s="63"/>
      <c r="BT24" s="63"/>
      <c r="BU24" s="63"/>
      <c r="BV24" s="63"/>
      <c r="BW24" s="63"/>
      <c r="BX24" s="64">
        <f t="shared" si="3"/>
        <v>0</v>
      </c>
      <c r="BY24" s="64"/>
      <c r="BZ24" s="63"/>
      <c r="CA24" s="63"/>
      <c r="CB24" s="63"/>
      <c r="CC24" s="63"/>
      <c r="CD24" s="63"/>
      <c r="CE24" s="63"/>
      <c r="CF24" s="63"/>
      <c r="CG24" s="63"/>
      <c r="CH24" s="63"/>
      <c r="CI24" s="64"/>
      <c r="CJ24" s="63"/>
      <c r="CK24" s="63"/>
      <c r="CL24" s="63"/>
      <c r="CM24" s="63"/>
      <c r="CN24" s="63"/>
      <c r="CO24" s="64">
        <f t="shared" si="4"/>
        <v>0</v>
      </c>
      <c r="CP24" s="63"/>
      <c r="CQ24" s="63"/>
      <c r="CR24" s="63"/>
      <c r="CS24" s="64"/>
      <c r="CT24" s="64"/>
      <c r="CU24" s="64"/>
      <c r="CV24" s="63"/>
      <c r="CW24" s="63"/>
      <c r="CX24" s="63"/>
      <c r="CY24" s="63"/>
      <c r="CZ24" s="63"/>
      <c r="DA24" s="63"/>
      <c r="DB24" s="63"/>
      <c r="DC24" s="63"/>
      <c r="DD24" s="63"/>
      <c r="DE24" s="64"/>
      <c r="DF24" s="63">
        <f t="shared" si="5"/>
        <v>0</v>
      </c>
      <c r="DG24" s="64"/>
      <c r="DH24" s="64">
        <f t="shared" si="6"/>
        <v>6</v>
      </c>
      <c r="DI24" s="64">
        <f t="shared" si="7"/>
        <v>0</v>
      </c>
      <c r="DJ24" s="63">
        <f t="shared" si="8"/>
        <v>0</v>
      </c>
      <c r="DK24" s="63">
        <f t="shared" si="9"/>
        <v>6</v>
      </c>
    </row>
    <row r="25" spans="1:115" x14ac:dyDescent="0.35">
      <c r="A25" s="46"/>
      <c r="B25" s="47" t="s">
        <v>53</v>
      </c>
      <c r="C25" s="48">
        <v>6</v>
      </c>
      <c r="D25" s="49">
        <v>9632</v>
      </c>
      <c r="E25" s="50">
        <v>100850925</v>
      </c>
      <c r="F25" s="51" t="s">
        <v>59</v>
      </c>
      <c r="G25" s="52">
        <v>2</v>
      </c>
      <c r="H25" s="52"/>
      <c r="I25" s="53"/>
      <c r="J25" s="54">
        <v>2</v>
      </c>
      <c r="K25" s="54"/>
      <c r="L25" s="54"/>
      <c r="M25" s="55"/>
      <c r="N25" s="55"/>
      <c r="O25" s="55"/>
      <c r="P25" s="55"/>
      <c r="Q25" s="54"/>
      <c r="R25" s="54"/>
      <c r="S25" s="54"/>
      <c r="T25" s="54"/>
      <c r="U25" s="54"/>
      <c r="V25" s="56"/>
      <c r="W25" s="56"/>
      <c r="X25" s="55"/>
      <c r="Y25" s="55">
        <f t="shared" si="0"/>
        <v>2</v>
      </c>
      <c r="Z25" s="55"/>
      <c r="AA25" s="54"/>
      <c r="AB25" s="55"/>
      <c r="AC25" s="55"/>
      <c r="AD25" s="55">
        <v>2</v>
      </c>
      <c r="AE25" s="55"/>
      <c r="AF25" s="54"/>
      <c r="AG25" s="55"/>
      <c r="AH25" s="54"/>
      <c r="AI25" s="54"/>
      <c r="AJ25" s="54"/>
      <c r="AK25" s="54"/>
      <c r="AL25" s="54"/>
      <c r="AM25" s="56"/>
      <c r="AN25" s="56"/>
      <c r="AO25" s="55"/>
      <c r="AP25" s="55">
        <f t="shared" si="1"/>
        <v>2</v>
      </c>
      <c r="AQ25" s="56"/>
      <c r="AR25" s="54">
        <v>2</v>
      </c>
      <c r="AS25" s="55"/>
      <c r="AT25" s="54">
        <v>2</v>
      </c>
      <c r="AU25" s="54"/>
      <c r="AV25" s="54"/>
      <c r="AW25" s="54"/>
      <c r="AX25" s="54"/>
      <c r="AY25" s="54">
        <v>2</v>
      </c>
      <c r="AZ25" s="54"/>
      <c r="BA25" s="54"/>
      <c r="BB25" s="54"/>
      <c r="BC25" s="54"/>
      <c r="BD25" s="54"/>
      <c r="BE25" s="56"/>
      <c r="BF25" s="56"/>
      <c r="BG25" s="55">
        <f t="shared" si="2"/>
        <v>6</v>
      </c>
      <c r="BH25" s="55"/>
      <c r="BI25" s="55"/>
      <c r="BJ25" s="54"/>
      <c r="BK25" s="54"/>
      <c r="BL25" s="55"/>
      <c r="BM25" s="54"/>
      <c r="BN25" s="54"/>
      <c r="BO25" s="54"/>
      <c r="BP25" s="54"/>
      <c r="BQ25" s="55"/>
      <c r="BR25" s="54"/>
      <c r="BS25" s="54"/>
      <c r="BT25" s="54"/>
      <c r="BU25" s="54"/>
      <c r="BV25" s="56"/>
      <c r="BW25" s="56"/>
      <c r="BX25" s="55">
        <f t="shared" si="3"/>
        <v>0</v>
      </c>
      <c r="BY25" s="55"/>
      <c r="BZ25" s="54"/>
      <c r="CA25" s="54"/>
      <c r="CB25" s="54"/>
      <c r="CC25" s="54"/>
      <c r="CD25" s="54"/>
      <c r="CE25" s="54"/>
      <c r="CF25" s="54"/>
      <c r="CG25" s="54"/>
      <c r="CH25" s="54"/>
      <c r="CI25" s="55"/>
      <c r="CJ25" s="54"/>
      <c r="CK25" s="54"/>
      <c r="CL25" s="54"/>
      <c r="CM25" s="56"/>
      <c r="CN25" s="56"/>
      <c r="CO25" s="55">
        <f t="shared" si="4"/>
        <v>0</v>
      </c>
      <c r="CP25" s="56"/>
      <c r="CQ25" s="54"/>
      <c r="CR25" s="54"/>
      <c r="CS25" s="55"/>
      <c r="CT25" s="55"/>
      <c r="CU25" s="55"/>
      <c r="CV25" s="54"/>
      <c r="CW25" s="54"/>
      <c r="CX25" s="54"/>
      <c r="CY25" s="54"/>
      <c r="CZ25" s="54"/>
      <c r="DA25" s="54"/>
      <c r="DB25" s="54"/>
      <c r="DC25" s="56"/>
      <c r="DD25" s="56"/>
      <c r="DE25" s="55"/>
      <c r="DF25" s="56">
        <f t="shared" si="5"/>
        <v>0</v>
      </c>
      <c r="DG25" s="55"/>
      <c r="DH25" s="55">
        <f t="shared" si="6"/>
        <v>10</v>
      </c>
      <c r="DI25" s="55">
        <f t="shared" si="7"/>
        <v>0</v>
      </c>
      <c r="DJ25" s="54">
        <f t="shared" si="8"/>
        <v>2</v>
      </c>
      <c r="DK25" s="54">
        <f t="shared" si="9"/>
        <v>8</v>
      </c>
    </row>
    <row r="26" spans="1:115" x14ac:dyDescent="0.35">
      <c r="A26" s="57"/>
      <c r="B26" s="58" t="s">
        <v>40</v>
      </c>
      <c r="C26" s="59">
        <v>10</v>
      </c>
      <c r="D26" s="58">
        <v>1812</v>
      </c>
      <c r="E26" s="60">
        <v>100843261</v>
      </c>
      <c r="F26" s="61" t="s">
        <v>41</v>
      </c>
      <c r="G26" s="62">
        <v>2</v>
      </c>
      <c r="H26" s="62"/>
      <c r="I26" s="63"/>
      <c r="J26" s="63"/>
      <c r="K26" s="63"/>
      <c r="L26" s="63"/>
      <c r="M26" s="64"/>
      <c r="N26" s="64"/>
      <c r="O26" s="64"/>
      <c r="P26" s="64"/>
      <c r="Q26" s="63"/>
      <c r="R26" s="63"/>
      <c r="S26" s="63"/>
      <c r="T26" s="63"/>
      <c r="U26" s="63"/>
      <c r="V26" s="63"/>
      <c r="W26" s="63"/>
      <c r="X26" s="64"/>
      <c r="Y26" s="64">
        <f t="shared" si="0"/>
        <v>0</v>
      </c>
      <c r="Z26" s="64"/>
      <c r="AA26" s="63"/>
      <c r="AB26" s="64"/>
      <c r="AC26" s="64"/>
      <c r="AD26" s="64">
        <v>2</v>
      </c>
      <c r="AE26" s="64"/>
      <c r="AF26" s="63"/>
      <c r="AG26" s="64"/>
      <c r="AH26" s="63"/>
      <c r="AI26" s="63"/>
      <c r="AJ26" s="63"/>
      <c r="AK26" s="63"/>
      <c r="AL26" s="63"/>
      <c r="AM26" s="63"/>
      <c r="AN26" s="63"/>
      <c r="AO26" s="64"/>
      <c r="AP26" s="64">
        <f t="shared" si="1"/>
        <v>2</v>
      </c>
      <c r="AQ26" s="63"/>
      <c r="AR26" s="63"/>
      <c r="AS26" s="64"/>
      <c r="AT26" s="63"/>
      <c r="AU26" s="63"/>
      <c r="AV26" s="63"/>
      <c r="AW26" s="63"/>
      <c r="AX26" s="63"/>
      <c r="AY26" s="63"/>
      <c r="AZ26" s="63"/>
      <c r="BA26" s="63"/>
      <c r="BB26" s="63"/>
      <c r="BC26" s="63"/>
      <c r="BD26" s="63"/>
      <c r="BE26" s="63"/>
      <c r="BF26" s="63"/>
      <c r="BG26" s="64">
        <f t="shared" si="2"/>
        <v>0</v>
      </c>
      <c r="BH26" s="64"/>
      <c r="BI26" s="64"/>
      <c r="BJ26" s="63"/>
      <c r="BK26" s="63"/>
      <c r="BL26" s="64"/>
      <c r="BM26" s="63"/>
      <c r="BN26" s="63"/>
      <c r="BO26" s="63"/>
      <c r="BP26" s="63"/>
      <c r="BQ26" s="64"/>
      <c r="BR26" s="63"/>
      <c r="BS26" s="63"/>
      <c r="BT26" s="63"/>
      <c r="BU26" s="63"/>
      <c r="BV26" s="63"/>
      <c r="BW26" s="63"/>
      <c r="BX26" s="64">
        <f t="shared" si="3"/>
        <v>0</v>
      </c>
      <c r="BY26" s="64"/>
      <c r="BZ26" s="63"/>
      <c r="CA26" s="63"/>
      <c r="CB26" s="63"/>
      <c r="CC26" s="63"/>
      <c r="CD26" s="63"/>
      <c r="CE26" s="63"/>
      <c r="CF26" s="63"/>
      <c r="CG26" s="63"/>
      <c r="CH26" s="63"/>
      <c r="CI26" s="64"/>
      <c r="CJ26" s="63"/>
      <c r="CK26" s="63"/>
      <c r="CL26" s="63"/>
      <c r="CM26" s="63"/>
      <c r="CN26" s="63"/>
      <c r="CO26" s="64">
        <f t="shared" si="4"/>
        <v>0</v>
      </c>
      <c r="CP26" s="63"/>
      <c r="CQ26" s="63"/>
      <c r="CR26" s="63"/>
      <c r="CS26" s="64"/>
      <c r="CT26" s="64"/>
      <c r="CU26" s="64"/>
      <c r="CV26" s="63"/>
      <c r="CW26" s="63"/>
      <c r="CX26" s="63"/>
      <c r="CY26" s="63"/>
      <c r="CZ26" s="63"/>
      <c r="DA26" s="63"/>
      <c r="DB26" s="63"/>
      <c r="DC26" s="63"/>
      <c r="DD26" s="63"/>
      <c r="DE26" s="64"/>
      <c r="DF26" s="63">
        <f t="shared" si="5"/>
        <v>0</v>
      </c>
      <c r="DG26" s="64"/>
      <c r="DH26" s="64">
        <f t="shared" si="6"/>
        <v>2</v>
      </c>
      <c r="DI26" s="64">
        <f t="shared" si="7"/>
        <v>0</v>
      </c>
      <c r="DJ26" s="63">
        <f t="shared" si="8"/>
        <v>2</v>
      </c>
      <c r="DK26" s="63">
        <f t="shared" si="9"/>
        <v>0</v>
      </c>
    </row>
    <row r="27" spans="1:115" x14ac:dyDescent="0.35">
      <c r="A27" s="46"/>
      <c r="B27" s="47" t="s">
        <v>32</v>
      </c>
      <c r="C27" s="48">
        <v>5</v>
      </c>
      <c r="D27" s="49">
        <v>2104</v>
      </c>
      <c r="E27" s="50">
        <v>100840221</v>
      </c>
      <c r="F27" s="51" t="s">
        <v>34</v>
      </c>
      <c r="G27" s="52">
        <v>0</v>
      </c>
      <c r="H27" s="52"/>
      <c r="I27" s="53"/>
      <c r="J27" s="54"/>
      <c r="K27" s="54"/>
      <c r="L27" s="54"/>
      <c r="M27" s="55"/>
      <c r="N27" s="55"/>
      <c r="O27" s="55"/>
      <c r="P27" s="55"/>
      <c r="Q27" s="54"/>
      <c r="R27" s="54"/>
      <c r="S27" s="54"/>
      <c r="T27" s="54"/>
      <c r="U27" s="54"/>
      <c r="V27" s="56"/>
      <c r="W27" s="56"/>
      <c r="X27" s="55"/>
      <c r="Y27" s="55">
        <f t="shared" si="0"/>
        <v>0</v>
      </c>
      <c r="Z27" s="55"/>
      <c r="AA27" s="54"/>
      <c r="AB27" s="55"/>
      <c r="AC27" s="55">
        <v>2</v>
      </c>
      <c r="AD27" s="55">
        <v>2</v>
      </c>
      <c r="AE27" s="55"/>
      <c r="AF27" s="54"/>
      <c r="AG27" s="55"/>
      <c r="AH27" s="54"/>
      <c r="AI27" s="54"/>
      <c r="AJ27" s="54"/>
      <c r="AK27" s="54"/>
      <c r="AL27" s="54"/>
      <c r="AM27" s="56"/>
      <c r="AN27" s="56"/>
      <c r="AO27" s="55"/>
      <c r="AP27" s="55">
        <f t="shared" si="1"/>
        <v>4</v>
      </c>
      <c r="AQ27" s="56"/>
      <c r="AR27" s="54">
        <v>2</v>
      </c>
      <c r="AS27" s="55"/>
      <c r="AT27" s="54"/>
      <c r="AU27" s="54"/>
      <c r="AV27" s="54"/>
      <c r="AW27" s="54"/>
      <c r="AX27" s="54"/>
      <c r="AY27" s="54">
        <v>2</v>
      </c>
      <c r="AZ27" s="54"/>
      <c r="BA27" s="54">
        <v>2</v>
      </c>
      <c r="BB27" s="54"/>
      <c r="BC27" s="54"/>
      <c r="BD27" s="54"/>
      <c r="BE27" s="56"/>
      <c r="BF27" s="56"/>
      <c r="BG27" s="55">
        <f t="shared" si="2"/>
        <v>6</v>
      </c>
      <c r="BH27" s="55"/>
      <c r="BI27" s="55"/>
      <c r="BJ27" s="54"/>
      <c r="BK27" s="54"/>
      <c r="BL27" s="55"/>
      <c r="BM27" s="54"/>
      <c r="BN27" s="54"/>
      <c r="BO27" s="54"/>
      <c r="BP27" s="54"/>
      <c r="BQ27" s="55"/>
      <c r="BR27" s="54"/>
      <c r="BS27" s="54"/>
      <c r="BT27" s="54"/>
      <c r="BU27" s="54"/>
      <c r="BV27" s="56"/>
      <c r="BW27" s="56"/>
      <c r="BX27" s="55">
        <f t="shared" si="3"/>
        <v>0</v>
      </c>
      <c r="BY27" s="55"/>
      <c r="BZ27" s="54"/>
      <c r="CA27" s="54"/>
      <c r="CB27" s="54"/>
      <c r="CC27" s="54"/>
      <c r="CD27" s="54"/>
      <c r="CE27" s="54"/>
      <c r="CF27" s="54"/>
      <c r="CG27" s="54"/>
      <c r="CH27" s="54"/>
      <c r="CI27" s="55"/>
      <c r="CJ27" s="54"/>
      <c r="CK27" s="54"/>
      <c r="CL27" s="54"/>
      <c r="CM27" s="56"/>
      <c r="CN27" s="56"/>
      <c r="CO27" s="55">
        <f t="shared" si="4"/>
        <v>0</v>
      </c>
      <c r="CP27" s="56"/>
      <c r="CQ27" s="54"/>
      <c r="CR27" s="54"/>
      <c r="CS27" s="55"/>
      <c r="CT27" s="55"/>
      <c r="CU27" s="55"/>
      <c r="CV27" s="54"/>
      <c r="CW27" s="54"/>
      <c r="CX27" s="54"/>
      <c r="CY27" s="54"/>
      <c r="CZ27" s="54"/>
      <c r="DA27" s="54"/>
      <c r="DB27" s="54"/>
      <c r="DC27" s="56"/>
      <c r="DD27" s="56"/>
      <c r="DE27" s="55"/>
      <c r="DF27" s="56">
        <f t="shared" si="5"/>
        <v>0</v>
      </c>
      <c r="DG27" s="55"/>
      <c r="DH27" s="55">
        <f t="shared" si="6"/>
        <v>10</v>
      </c>
      <c r="DI27" s="55">
        <f t="shared" si="7"/>
        <v>0</v>
      </c>
      <c r="DJ27" s="54">
        <f t="shared" si="8"/>
        <v>0</v>
      </c>
      <c r="DK27" s="54">
        <f t="shared" si="9"/>
        <v>10</v>
      </c>
    </row>
    <row r="28" spans="1:115" x14ac:dyDescent="0.35">
      <c r="A28" s="57"/>
      <c r="B28" s="58" t="s">
        <v>61</v>
      </c>
      <c r="C28" s="59">
        <v>6</v>
      </c>
      <c r="D28" s="58">
        <v>1109</v>
      </c>
      <c r="E28" s="60">
        <v>100850633</v>
      </c>
      <c r="F28" s="61" t="s">
        <v>63</v>
      </c>
      <c r="G28" s="62">
        <v>0</v>
      </c>
      <c r="H28" s="62"/>
      <c r="I28" s="63"/>
      <c r="J28" s="63"/>
      <c r="K28" s="63"/>
      <c r="L28" s="63"/>
      <c r="M28" s="64"/>
      <c r="N28" s="64"/>
      <c r="O28" s="64"/>
      <c r="P28" s="64"/>
      <c r="Q28" s="63"/>
      <c r="R28" s="63"/>
      <c r="S28" s="63"/>
      <c r="T28" s="63"/>
      <c r="U28" s="63"/>
      <c r="V28" s="63"/>
      <c r="W28" s="63"/>
      <c r="X28" s="64"/>
      <c r="Y28" s="64">
        <f t="shared" si="0"/>
        <v>0</v>
      </c>
      <c r="Z28" s="64"/>
      <c r="AA28" s="63"/>
      <c r="AB28" s="64"/>
      <c r="AC28" s="64">
        <v>2</v>
      </c>
      <c r="AD28" s="64">
        <v>2</v>
      </c>
      <c r="AE28" s="64">
        <v>2</v>
      </c>
      <c r="AF28" s="63">
        <v>2</v>
      </c>
      <c r="AG28" s="64"/>
      <c r="AH28" s="63"/>
      <c r="AI28" s="63"/>
      <c r="AJ28" s="63"/>
      <c r="AK28" s="63"/>
      <c r="AL28" s="63"/>
      <c r="AM28" s="63"/>
      <c r="AN28" s="63"/>
      <c r="AO28" s="64"/>
      <c r="AP28" s="64">
        <f t="shared" si="1"/>
        <v>8</v>
      </c>
      <c r="AQ28" s="63"/>
      <c r="AR28" s="63"/>
      <c r="AS28" s="64"/>
      <c r="AT28" s="63"/>
      <c r="AU28" s="63"/>
      <c r="AV28" s="63"/>
      <c r="AW28" s="63"/>
      <c r="AX28" s="63"/>
      <c r="AY28" s="63"/>
      <c r="AZ28" s="63"/>
      <c r="BA28" s="63"/>
      <c r="BB28" s="63"/>
      <c r="BC28" s="63"/>
      <c r="BD28" s="63"/>
      <c r="BE28" s="63"/>
      <c r="BF28" s="63"/>
      <c r="BG28" s="64">
        <f t="shared" si="2"/>
        <v>0</v>
      </c>
      <c r="BH28" s="64"/>
      <c r="BI28" s="64"/>
      <c r="BJ28" s="63"/>
      <c r="BK28" s="63"/>
      <c r="BL28" s="64"/>
      <c r="BM28" s="63"/>
      <c r="BN28" s="63"/>
      <c r="BO28" s="63"/>
      <c r="BP28" s="63"/>
      <c r="BQ28" s="64"/>
      <c r="BR28" s="63"/>
      <c r="BS28" s="63"/>
      <c r="BT28" s="63"/>
      <c r="BU28" s="63"/>
      <c r="BV28" s="63"/>
      <c r="BW28" s="63"/>
      <c r="BX28" s="64">
        <f t="shared" si="3"/>
        <v>0</v>
      </c>
      <c r="BY28" s="64"/>
      <c r="BZ28" s="63"/>
      <c r="CA28" s="63"/>
      <c r="CB28" s="63"/>
      <c r="CC28" s="63"/>
      <c r="CD28" s="63"/>
      <c r="CE28" s="63"/>
      <c r="CF28" s="63"/>
      <c r="CG28" s="63"/>
      <c r="CH28" s="63"/>
      <c r="CI28" s="64"/>
      <c r="CJ28" s="63"/>
      <c r="CK28" s="63"/>
      <c r="CL28" s="63"/>
      <c r="CM28" s="63"/>
      <c r="CN28" s="63"/>
      <c r="CO28" s="64">
        <f t="shared" si="4"/>
        <v>0</v>
      </c>
      <c r="CP28" s="63"/>
      <c r="CQ28" s="63"/>
      <c r="CR28" s="63"/>
      <c r="CS28" s="64"/>
      <c r="CT28" s="64"/>
      <c r="CU28" s="64"/>
      <c r="CV28" s="63"/>
      <c r="CW28" s="63"/>
      <c r="CX28" s="63"/>
      <c r="CY28" s="63"/>
      <c r="CZ28" s="63"/>
      <c r="DA28" s="63"/>
      <c r="DB28" s="63"/>
      <c r="DC28" s="63"/>
      <c r="DD28" s="63"/>
      <c r="DE28" s="64"/>
      <c r="DF28" s="63">
        <f t="shared" si="5"/>
        <v>0</v>
      </c>
      <c r="DG28" s="64"/>
      <c r="DH28" s="64">
        <f t="shared" si="6"/>
        <v>8</v>
      </c>
      <c r="DI28" s="64">
        <f t="shared" si="7"/>
        <v>0</v>
      </c>
      <c r="DJ28" s="63">
        <f t="shared" si="8"/>
        <v>0</v>
      </c>
      <c r="DK28" s="63">
        <f t="shared" si="9"/>
        <v>8</v>
      </c>
    </row>
    <row r="29" spans="1:115" ht="15" thickBot="1" x14ac:dyDescent="0.4">
      <c r="A29" s="46"/>
      <c r="B29" s="47" t="s">
        <v>53</v>
      </c>
      <c r="C29" s="48">
        <v>6</v>
      </c>
      <c r="D29" s="49">
        <v>9701</v>
      </c>
      <c r="E29" s="50">
        <v>100840527</v>
      </c>
      <c r="F29" s="51" t="s">
        <v>60</v>
      </c>
      <c r="G29" s="65">
        <v>0</v>
      </c>
      <c r="H29" s="65"/>
      <c r="I29" s="66"/>
      <c r="J29" s="67"/>
      <c r="K29" s="67"/>
      <c r="L29" s="67"/>
      <c r="M29" s="68"/>
      <c r="N29" s="68"/>
      <c r="O29" s="68"/>
      <c r="P29" s="68"/>
      <c r="Q29" s="67"/>
      <c r="R29" s="67"/>
      <c r="S29" s="67"/>
      <c r="T29" s="67"/>
      <c r="U29" s="67"/>
      <c r="V29" s="69"/>
      <c r="W29" s="69"/>
      <c r="X29" s="68"/>
      <c r="Y29" s="68">
        <f t="shared" si="0"/>
        <v>0</v>
      </c>
      <c r="Z29" s="68"/>
      <c r="AA29" s="67"/>
      <c r="AB29" s="68"/>
      <c r="AC29" s="68">
        <v>2</v>
      </c>
      <c r="AD29" s="68">
        <v>2</v>
      </c>
      <c r="AE29" s="68">
        <v>2</v>
      </c>
      <c r="AF29" s="67">
        <v>2</v>
      </c>
      <c r="AG29" s="68"/>
      <c r="AH29" s="67"/>
      <c r="AI29" s="67"/>
      <c r="AJ29" s="67"/>
      <c r="AK29" s="67"/>
      <c r="AL29" s="67"/>
      <c r="AM29" s="69"/>
      <c r="AN29" s="69"/>
      <c r="AO29" s="68"/>
      <c r="AP29" s="68">
        <f t="shared" si="1"/>
        <v>8</v>
      </c>
      <c r="AQ29" s="69"/>
      <c r="AR29" s="67"/>
      <c r="AS29" s="68"/>
      <c r="AT29" s="67"/>
      <c r="AU29" s="67"/>
      <c r="AV29" s="67"/>
      <c r="AW29" s="67"/>
      <c r="AX29" s="67"/>
      <c r="AY29" s="67"/>
      <c r="AZ29" s="67"/>
      <c r="BA29" s="67"/>
      <c r="BB29" s="67"/>
      <c r="BC29" s="67"/>
      <c r="BD29" s="67"/>
      <c r="BE29" s="69"/>
      <c r="BF29" s="69"/>
      <c r="BG29" s="68">
        <f t="shared" si="2"/>
        <v>0</v>
      </c>
      <c r="BH29" s="68"/>
      <c r="BI29" s="68"/>
      <c r="BJ29" s="67"/>
      <c r="BK29" s="67"/>
      <c r="BL29" s="68"/>
      <c r="BM29" s="67"/>
      <c r="BN29" s="67"/>
      <c r="BO29" s="67"/>
      <c r="BP29" s="67"/>
      <c r="BQ29" s="68"/>
      <c r="BR29" s="67"/>
      <c r="BS29" s="67"/>
      <c r="BT29" s="67"/>
      <c r="BU29" s="67"/>
      <c r="BV29" s="69"/>
      <c r="BW29" s="69"/>
      <c r="BX29" s="68">
        <f t="shared" si="3"/>
        <v>0</v>
      </c>
      <c r="BY29" s="68"/>
      <c r="BZ29" s="67"/>
      <c r="CA29" s="67"/>
      <c r="CB29" s="67"/>
      <c r="CC29" s="67"/>
      <c r="CD29" s="67"/>
      <c r="CE29" s="67"/>
      <c r="CF29" s="67"/>
      <c r="CG29" s="67"/>
      <c r="CH29" s="67"/>
      <c r="CI29" s="68"/>
      <c r="CJ29" s="67"/>
      <c r="CK29" s="67"/>
      <c r="CL29" s="67"/>
      <c r="CM29" s="69"/>
      <c r="CN29" s="69"/>
      <c r="CO29" s="68">
        <f t="shared" si="4"/>
        <v>0</v>
      </c>
      <c r="CP29" s="69"/>
      <c r="CQ29" s="67"/>
      <c r="CR29" s="67"/>
      <c r="CS29" s="68"/>
      <c r="CT29" s="68"/>
      <c r="CU29" s="68"/>
      <c r="CV29" s="67"/>
      <c r="CW29" s="67"/>
      <c r="CX29" s="67"/>
      <c r="CY29" s="67"/>
      <c r="CZ29" s="67"/>
      <c r="DA29" s="67"/>
      <c r="DB29" s="67"/>
      <c r="DC29" s="69"/>
      <c r="DD29" s="69"/>
      <c r="DE29" s="68"/>
      <c r="DF29" s="69">
        <f t="shared" si="5"/>
        <v>0</v>
      </c>
      <c r="DG29" s="68"/>
      <c r="DH29" s="68">
        <f t="shared" si="6"/>
        <v>8</v>
      </c>
      <c r="DI29" s="68">
        <f t="shared" si="7"/>
        <v>0</v>
      </c>
      <c r="DJ29" s="67">
        <f t="shared" si="8"/>
        <v>0</v>
      </c>
      <c r="DK29" s="67">
        <f t="shared" si="9"/>
        <v>8</v>
      </c>
    </row>
    <row r="30" spans="1:115" s="45" customFormat="1" ht="15" thickTop="1" x14ac:dyDescent="0.35">
      <c r="A30" s="70"/>
      <c r="B30" s="71" t="s">
        <v>66</v>
      </c>
      <c r="C30" s="72">
        <v>6</v>
      </c>
      <c r="D30" s="71">
        <v>379</v>
      </c>
      <c r="E30" s="73">
        <v>100841785</v>
      </c>
      <c r="F30" s="74" t="s">
        <v>78</v>
      </c>
      <c r="G30" s="75">
        <v>0</v>
      </c>
      <c r="H30" s="75"/>
      <c r="I30" s="76"/>
      <c r="J30" s="76"/>
      <c r="K30" s="76"/>
      <c r="L30" s="76"/>
      <c r="M30" s="77"/>
      <c r="N30" s="77"/>
      <c r="O30" s="77"/>
      <c r="P30" s="77"/>
      <c r="Q30" s="76"/>
      <c r="R30" s="76"/>
      <c r="S30" s="76"/>
      <c r="T30" s="76"/>
      <c r="U30" s="76"/>
      <c r="V30" s="76"/>
      <c r="W30" s="76"/>
      <c r="X30" s="77"/>
      <c r="Y30" s="77">
        <f t="shared" si="0"/>
        <v>0</v>
      </c>
      <c r="Z30" s="77"/>
      <c r="AA30" s="76"/>
      <c r="AB30" s="77"/>
      <c r="AC30" s="77">
        <v>2</v>
      </c>
      <c r="AD30" s="77">
        <v>2</v>
      </c>
      <c r="AE30" s="77"/>
      <c r="AF30" s="76">
        <v>2</v>
      </c>
      <c r="AG30" s="77"/>
      <c r="AH30" s="76"/>
      <c r="AI30" s="76"/>
      <c r="AJ30" s="76"/>
      <c r="AK30" s="76"/>
      <c r="AL30" s="76"/>
      <c r="AM30" s="76"/>
      <c r="AN30" s="76"/>
      <c r="AO30" s="77"/>
      <c r="AP30" s="77">
        <f t="shared" si="1"/>
        <v>6</v>
      </c>
      <c r="AQ30" s="76"/>
      <c r="AR30" s="76"/>
      <c r="AS30" s="77"/>
      <c r="AT30" s="76">
        <v>2</v>
      </c>
      <c r="AU30" s="76"/>
      <c r="AV30" s="76"/>
      <c r="AW30" s="76"/>
      <c r="AX30" s="76"/>
      <c r="AY30" s="76"/>
      <c r="AZ30" s="76">
        <v>2</v>
      </c>
      <c r="BA30" s="76">
        <v>2</v>
      </c>
      <c r="BB30" s="76"/>
      <c r="BC30" s="76"/>
      <c r="BD30" s="76"/>
      <c r="BE30" s="76"/>
      <c r="BF30" s="76"/>
      <c r="BG30" s="77">
        <f t="shared" si="2"/>
        <v>6</v>
      </c>
      <c r="BH30" s="77"/>
      <c r="BI30" s="77"/>
      <c r="BJ30" s="76"/>
      <c r="BK30" s="76"/>
      <c r="BL30" s="77"/>
      <c r="BM30" s="76"/>
      <c r="BN30" s="76"/>
      <c r="BO30" s="76"/>
      <c r="BP30" s="76"/>
      <c r="BQ30" s="77"/>
      <c r="BR30" s="76"/>
      <c r="BS30" s="76"/>
      <c r="BT30" s="76"/>
      <c r="BU30" s="76"/>
      <c r="BV30" s="76"/>
      <c r="BW30" s="76"/>
      <c r="BX30" s="77">
        <f t="shared" si="3"/>
        <v>0</v>
      </c>
      <c r="BY30" s="77"/>
      <c r="BZ30" s="76"/>
      <c r="CA30" s="76"/>
      <c r="CB30" s="76"/>
      <c r="CC30" s="76"/>
      <c r="CD30" s="76"/>
      <c r="CE30" s="76"/>
      <c r="CF30" s="76"/>
      <c r="CG30" s="76"/>
      <c r="CH30" s="76"/>
      <c r="CI30" s="77"/>
      <c r="CJ30" s="76"/>
      <c r="CK30" s="76"/>
      <c r="CL30" s="76"/>
      <c r="CM30" s="76"/>
      <c r="CN30" s="76"/>
      <c r="CO30" s="77">
        <f t="shared" si="4"/>
        <v>0</v>
      </c>
      <c r="CP30" s="76"/>
      <c r="CQ30" s="76"/>
      <c r="CR30" s="76"/>
      <c r="CS30" s="77"/>
      <c r="CT30" s="77"/>
      <c r="CU30" s="77"/>
      <c r="CV30" s="76"/>
      <c r="CW30" s="76"/>
      <c r="CX30" s="76"/>
      <c r="CY30" s="76"/>
      <c r="CZ30" s="76"/>
      <c r="DA30" s="76"/>
      <c r="DB30" s="76"/>
      <c r="DC30" s="76"/>
      <c r="DD30" s="76"/>
      <c r="DE30" s="77"/>
      <c r="DF30" s="76">
        <f t="shared" si="5"/>
        <v>0</v>
      </c>
      <c r="DG30" s="77"/>
      <c r="DH30" s="77">
        <f t="shared" si="6"/>
        <v>12</v>
      </c>
      <c r="DI30" s="77">
        <f t="shared" si="7"/>
        <v>0</v>
      </c>
      <c r="DJ30" s="76">
        <f t="shared" si="8"/>
        <v>0</v>
      </c>
      <c r="DK30" s="76">
        <f t="shared" si="9"/>
        <v>12</v>
      </c>
    </row>
    <row r="31" spans="1:115" x14ac:dyDescent="0.35">
      <c r="A31" s="46"/>
      <c r="B31" s="47" t="s">
        <v>45</v>
      </c>
      <c r="C31" s="48">
        <v>5</v>
      </c>
      <c r="D31" s="49">
        <v>220</v>
      </c>
      <c r="E31" s="50">
        <v>100845419</v>
      </c>
      <c r="F31" s="51" t="s">
        <v>46</v>
      </c>
      <c r="G31" s="52">
        <v>0</v>
      </c>
      <c r="H31" s="52"/>
      <c r="I31" s="53"/>
      <c r="J31" s="54"/>
      <c r="K31" s="54"/>
      <c r="L31" s="54"/>
      <c r="M31" s="55"/>
      <c r="N31" s="55"/>
      <c r="O31" s="55"/>
      <c r="P31" s="55"/>
      <c r="Q31" s="54"/>
      <c r="R31" s="54"/>
      <c r="S31" s="54"/>
      <c r="T31" s="54"/>
      <c r="U31" s="54"/>
      <c r="V31" s="56"/>
      <c r="W31" s="56"/>
      <c r="X31" s="55"/>
      <c r="Y31" s="55">
        <f t="shared" si="0"/>
        <v>0</v>
      </c>
      <c r="Z31" s="55"/>
      <c r="AA31" s="54"/>
      <c r="AB31" s="55">
        <v>2</v>
      </c>
      <c r="AC31" s="55">
        <v>2</v>
      </c>
      <c r="AD31" s="55">
        <v>2</v>
      </c>
      <c r="AE31" s="55">
        <v>2</v>
      </c>
      <c r="AF31" s="54">
        <v>2</v>
      </c>
      <c r="AG31" s="55">
        <v>2</v>
      </c>
      <c r="AH31" s="54">
        <v>2</v>
      </c>
      <c r="AI31" s="54"/>
      <c r="AJ31" s="54"/>
      <c r="AK31" s="54"/>
      <c r="AL31" s="54"/>
      <c r="AM31" s="56"/>
      <c r="AN31" s="56"/>
      <c r="AO31" s="55"/>
      <c r="AP31" s="55">
        <f t="shared" si="1"/>
        <v>14</v>
      </c>
      <c r="AQ31" s="56"/>
      <c r="AR31" s="54">
        <v>2</v>
      </c>
      <c r="AS31" s="55"/>
      <c r="AT31" s="54">
        <v>2</v>
      </c>
      <c r="AU31" s="54"/>
      <c r="AV31" s="54"/>
      <c r="AW31" s="54"/>
      <c r="AX31" s="54"/>
      <c r="AY31" s="54"/>
      <c r="AZ31" s="54">
        <v>2</v>
      </c>
      <c r="BA31" s="54">
        <v>2</v>
      </c>
      <c r="BB31" s="54">
        <v>2</v>
      </c>
      <c r="BC31" s="54"/>
      <c r="BD31" s="54"/>
      <c r="BE31" s="56"/>
      <c r="BF31" s="56"/>
      <c r="BG31" s="55">
        <f t="shared" si="2"/>
        <v>10</v>
      </c>
      <c r="BH31" s="55"/>
      <c r="BI31" s="55"/>
      <c r="BJ31" s="54"/>
      <c r="BK31" s="54"/>
      <c r="BL31" s="55"/>
      <c r="BM31" s="54"/>
      <c r="BN31" s="54"/>
      <c r="BO31" s="54"/>
      <c r="BP31" s="54"/>
      <c r="BQ31" s="55"/>
      <c r="BR31" s="54"/>
      <c r="BS31" s="54"/>
      <c r="BT31" s="54"/>
      <c r="BU31" s="54"/>
      <c r="BV31" s="56"/>
      <c r="BW31" s="56"/>
      <c r="BX31" s="55">
        <f t="shared" si="3"/>
        <v>0</v>
      </c>
      <c r="BY31" s="55"/>
      <c r="BZ31" s="54"/>
      <c r="CA31" s="54"/>
      <c r="CB31" s="54"/>
      <c r="CC31" s="54"/>
      <c r="CD31" s="54"/>
      <c r="CE31" s="54"/>
      <c r="CF31" s="54"/>
      <c r="CG31" s="54"/>
      <c r="CH31" s="54"/>
      <c r="CI31" s="55"/>
      <c r="CJ31" s="54"/>
      <c r="CK31" s="54"/>
      <c r="CL31" s="54"/>
      <c r="CM31" s="56"/>
      <c r="CN31" s="56"/>
      <c r="CO31" s="55">
        <f t="shared" si="4"/>
        <v>0</v>
      </c>
      <c r="CP31" s="56"/>
      <c r="CQ31" s="54"/>
      <c r="CR31" s="54"/>
      <c r="CS31" s="55"/>
      <c r="CT31" s="55"/>
      <c r="CU31" s="55"/>
      <c r="CV31" s="54"/>
      <c r="CW31" s="54"/>
      <c r="CX31" s="54"/>
      <c r="CY31" s="54"/>
      <c r="CZ31" s="54"/>
      <c r="DA31" s="54"/>
      <c r="DB31" s="54"/>
      <c r="DC31" s="56"/>
      <c r="DD31" s="56"/>
      <c r="DE31" s="55"/>
      <c r="DF31" s="56">
        <f t="shared" si="5"/>
        <v>0</v>
      </c>
      <c r="DG31" s="55"/>
      <c r="DH31" s="55">
        <f t="shared" si="6"/>
        <v>24</v>
      </c>
      <c r="DI31" s="55">
        <f t="shared" si="7"/>
        <v>0</v>
      </c>
      <c r="DJ31" s="54">
        <f t="shared" si="8"/>
        <v>0</v>
      </c>
      <c r="DK31" s="54">
        <f t="shared" si="9"/>
        <v>24</v>
      </c>
    </row>
    <row r="32" spans="1:115" x14ac:dyDescent="0.35">
      <c r="A32" s="57"/>
      <c r="B32" s="58" t="s">
        <v>66</v>
      </c>
      <c r="C32" s="59">
        <v>6</v>
      </c>
      <c r="D32" s="58">
        <v>396</v>
      </c>
      <c r="E32" s="60">
        <v>100846451</v>
      </c>
      <c r="F32" s="61" t="s">
        <v>79</v>
      </c>
      <c r="G32" s="62">
        <v>2</v>
      </c>
      <c r="H32" s="62"/>
      <c r="I32" s="63"/>
      <c r="J32" s="63"/>
      <c r="K32" s="63"/>
      <c r="L32" s="63"/>
      <c r="M32" s="64"/>
      <c r="N32" s="64"/>
      <c r="O32" s="64"/>
      <c r="P32" s="64"/>
      <c r="Q32" s="63"/>
      <c r="R32" s="63"/>
      <c r="S32" s="63"/>
      <c r="T32" s="63"/>
      <c r="U32" s="63"/>
      <c r="V32" s="63"/>
      <c r="W32" s="63"/>
      <c r="X32" s="64"/>
      <c r="Y32" s="64">
        <f t="shared" si="0"/>
        <v>0</v>
      </c>
      <c r="Z32" s="64"/>
      <c r="AA32" s="63"/>
      <c r="AB32" s="64"/>
      <c r="AC32" s="64"/>
      <c r="AD32" s="64">
        <v>2</v>
      </c>
      <c r="AE32" s="64"/>
      <c r="AF32" s="63"/>
      <c r="AG32" s="64">
        <v>2</v>
      </c>
      <c r="AH32" s="63"/>
      <c r="AI32" s="63"/>
      <c r="AJ32" s="63"/>
      <c r="AK32" s="63"/>
      <c r="AL32" s="63"/>
      <c r="AM32" s="63"/>
      <c r="AN32" s="63"/>
      <c r="AO32" s="64"/>
      <c r="AP32" s="64">
        <f t="shared" si="1"/>
        <v>4</v>
      </c>
      <c r="AQ32" s="63"/>
      <c r="AR32" s="63"/>
      <c r="AS32" s="64"/>
      <c r="AT32" s="63"/>
      <c r="AU32" s="63"/>
      <c r="AV32" s="63"/>
      <c r="AW32" s="63"/>
      <c r="AX32" s="63"/>
      <c r="AY32" s="63">
        <v>2</v>
      </c>
      <c r="AZ32" s="63">
        <v>2</v>
      </c>
      <c r="BA32" s="63"/>
      <c r="BB32" s="63"/>
      <c r="BC32" s="63"/>
      <c r="BD32" s="63"/>
      <c r="BE32" s="63"/>
      <c r="BF32" s="63"/>
      <c r="BG32" s="64">
        <f t="shared" si="2"/>
        <v>4</v>
      </c>
      <c r="BH32" s="64"/>
      <c r="BI32" s="64"/>
      <c r="BJ32" s="63"/>
      <c r="BK32" s="63"/>
      <c r="BL32" s="64"/>
      <c r="BM32" s="63"/>
      <c r="BN32" s="63"/>
      <c r="BO32" s="63"/>
      <c r="BP32" s="63"/>
      <c r="BQ32" s="64"/>
      <c r="BR32" s="63"/>
      <c r="BS32" s="63"/>
      <c r="BT32" s="63"/>
      <c r="BU32" s="63"/>
      <c r="BV32" s="63"/>
      <c r="BW32" s="63"/>
      <c r="BX32" s="64">
        <f t="shared" si="3"/>
        <v>0</v>
      </c>
      <c r="BY32" s="64"/>
      <c r="BZ32" s="63"/>
      <c r="CA32" s="63"/>
      <c r="CB32" s="63"/>
      <c r="CC32" s="63"/>
      <c r="CD32" s="63"/>
      <c r="CE32" s="63"/>
      <c r="CF32" s="63"/>
      <c r="CG32" s="63"/>
      <c r="CH32" s="63"/>
      <c r="CI32" s="64"/>
      <c r="CJ32" s="63"/>
      <c r="CK32" s="63"/>
      <c r="CL32" s="63"/>
      <c r="CM32" s="63"/>
      <c r="CN32" s="63"/>
      <c r="CO32" s="64">
        <f t="shared" si="4"/>
        <v>0</v>
      </c>
      <c r="CP32" s="63"/>
      <c r="CQ32" s="63"/>
      <c r="CR32" s="63"/>
      <c r="CS32" s="64"/>
      <c r="CT32" s="64"/>
      <c r="CU32" s="64"/>
      <c r="CV32" s="63"/>
      <c r="CW32" s="63"/>
      <c r="CX32" s="63"/>
      <c r="CY32" s="63"/>
      <c r="CZ32" s="63"/>
      <c r="DA32" s="63"/>
      <c r="DB32" s="63"/>
      <c r="DC32" s="63"/>
      <c r="DD32" s="63"/>
      <c r="DE32" s="64"/>
      <c r="DF32" s="63">
        <f t="shared" si="5"/>
        <v>0</v>
      </c>
      <c r="DG32" s="64"/>
      <c r="DH32" s="64">
        <f t="shared" si="6"/>
        <v>8</v>
      </c>
      <c r="DI32" s="64">
        <f t="shared" si="7"/>
        <v>0</v>
      </c>
      <c r="DJ32" s="63">
        <f t="shared" si="8"/>
        <v>2</v>
      </c>
      <c r="DK32" s="63">
        <f t="shared" si="9"/>
        <v>6</v>
      </c>
    </row>
    <row r="33" spans="1:115" x14ac:dyDescent="0.35">
      <c r="A33" s="46"/>
      <c r="B33" s="47" t="s">
        <v>66</v>
      </c>
      <c r="C33" s="48">
        <v>4</v>
      </c>
      <c r="D33" s="49">
        <v>876</v>
      </c>
      <c r="E33" s="50">
        <v>100851087</v>
      </c>
      <c r="F33" s="51" t="s">
        <v>67</v>
      </c>
      <c r="G33" s="52">
        <v>2</v>
      </c>
      <c r="H33" s="52"/>
      <c r="I33" s="53"/>
      <c r="J33" s="54">
        <v>2</v>
      </c>
      <c r="K33" s="54">
        <v>2</v>
      </c>
      <c r="L33" s="54"/>
      <c r="M33" s="55"/>
      <c r="N33" s="55"/>
      <c r="O33" s="55"/>
      <c r="P33" s="55"/>
      <c r="Q33" s="54"/>
      <c r="R33" s="54"/>
      <c r="S33" s="54"/>
      <c r="T33" s="54"/>
      <c r="U33" s="54"/>
      <c r="V33" s="56"/>
      <c r="W33" s="56"/>
      <c r="X33" s="55"/>
      <c r="Y33" s="55">
        <f t="shared" si="0"/>
        <v>4</v>
      </c>
      <c r="Z33" s="55"/>
      <c r="AA33" s="54"/>
      <c r="AB33" s="55"/>
      <c r="AC33" s="55"/>
      <c r="AD33" s="55">
        <v>2</v>
      </c>
      <c r="AE33" s="55"/>
      <c r="AF33" s="54"/>
      <c r="AG33" s="55">
        <v>2</v>
      </c>
      <c r="AH33" s="54">
        <v>2</v>
      </c>
      <c r="AI33" s="54"/>
      <c r="AJ33" s="54"/>
      <c r="AK33" s="54"/>
      <c r="AL33" s="54"/>
      <c r="AM33" s="56"/>
      <c r="AN33" s="56"/>
      <c r="AO33" s="55"/>
      <c r="AP33" s="55">
        <f t="shared" si="1"/>
        <v>6</v>
      </c>
      <c r="AQ33" s="56"/>
      <c r="AR33" s="54"/>
      <c r="AS33" s="55"/>
      <c r="AT33" s="54">
        <v>2</v>
      </c>
      <c r="AU33" s="54"/>
      <c r="AV33" s="54"/>
      <c r="AW33" s="54"/>
      <c r="AX33" s="54"/>
      <c r="AY33" s="54">
        <v>2</v>
      </c>
      <c r="AZ33" s="54">
        <v>2</v>
      </c>
      <c r="BA33" s="54"/>
      <c r="BB33" s="54"/>
      <c r="BC33" s="54"/>
      <c r="BD33" s="54"/>
      <c r="BE33" s="56"/>
      <c r="BF33" s="56"/>
      <c r="BG33" s="55">
        <f t="shared" si="2"/>
        <v>6</v>
      </c>
      <c r="BH33" s="55"/>
      <c r="BI33" s="55"/>
      <c r="BJ33" s="54"/>
      <c r="BK33" s="54"/>
      <c r="BL33" s="55"/>
      <c r="BM33" s="54"/>
      <c r="BN33" s="54"/>
      <c r="BO33" s="54"/>
      <c r="BP33" s="54"/>
      <c r="BQ33" s="55"/>
      <c r="BR33" s="54"/>
      <c r="BS33" s="54"/>
      <c r="BT33" s="54"/>
      <c r="BU33" s="54"/>
      <c r="BV33" s="56"/>
      <c r="BW33" s="56"/>
      <c r="BX33" s="55">
        <f t="shared" si="3"/>
        <v>0</v>
      </c>
      <c r="BY33" s="55"/>
      <c r="BZ33" s="54"/>
      <c r="CA33" s="54"/>
      <c r="CB33" s="54"/>
      <c r="CC33" s="54"/>
      <c r="CD33" s="54"/>
      <c r="CE33" s="54"/>
      <c r="CF33" s="54"/>
      <c r="CG33" s="54"/>
      <c r="CH33" s="54"/>
      <c r="CI33" s="55"/>
      <c r="CJ33" s="54"/>
      <c r="CK33" s="54"/>
      <c r="CL33" s="54"/>
      <c r="CM33" s="56"/>
      <c r="CN33" s="56"/>
      <c r="CO33" s="55">
        <f t="shared" si="4"/>
        <v>0</v>
      </c>
      <c r="CP33" s="56"/>
      <c r="CQ33" s="54"/>
      <c r="CR33" s="54"/>
      <c r="CS33" s="55"/>
      <c r="CT33" s="55"/>
      <c r="CU33" s="55"/>
      <c r="CV33" s="54"/>
      <c r="CW33" s="54"/>
      <c r="CX33" s="54"/>
      <c r="CY33" s="54"/>
      <c r="CZ33" s="54"/>
      <c r="DA33" s="54"/>
      <c r="DB33" s="54"/>
      <c r="DC33" s="56"/>
      <c r="DD33" s="56"/>
      <c r="DE33" s="55"/>
      <c r="DF33" s="56">
        <f t="shared" si="5"/>
        <v>0</v>
      </c>
      <c r="DG33" s="55"/>
      <c r="DH33" s="55">
        <f t="shared" si="6"/>
        <v>16</v>
      </c>
      <c r="DI33" s="55">
        <f t="shared" si="7"/>
        <v>0</v>
      </c>
      <c r="DJ33" s="54">
        <f t="shared" si="8"/>
        <v>2</v>
      </c>
      <c r="DK33" s="54">
        <f t="shared" si="9"/>
        <v>14</v>
      </c>
    </row>
    <row r="34" spans="1:115" x14ac:dyDescent="0.35">
      <c r="A34" s="57"/>
      <c r="B34" s="58" t="s">
        <v>66</v>
      </c>
      <c r="C34" s="59">
        <v>6</v>
      </c>
      <c r="D34" s="58">
        <v>451</v>
      </c>
      <c r="E34" s="60">
        <v>100840914</v>
      </c>
      <c r="F34" s="61" t="s">
        <v>80</v>
      </c>
      <c r="G34" s="62">
        <v>0</v>
      </c>
      <c r="H34" s="62"/>
      <c r="I34" s="63"/>
      <c r="J34" s="63"/>
      <c r="K34" s="63"/>
      <c r="L34" s="63"/>
      <c r="M34" s="64"/>
      <c r="N34" s="64"/>
      <c r="O34" s="64"/>
      <c r="P34" s="64"/>
      <c r="Q34" s="63"/>
      <c r="R34" s="63"/>
      <c r="S34" s="63"/>
      <c r="T34" s="63"/>
      <c r="U34" s="63"/>
      <c r="V34" s="63"/>
      <c r="W34" s="63"/>
      <c r="X34" s="64"/>
      <c r="Y34" s="64">
        <f t="shared" si="0"/>
        <v>0</v>
      </c>
      <c r="Z34" s="64"/>
      <c r="AA34" s="63"/>
      <c r="AB34" s="64"/>
      <c r="AC34" s="64"/>
      <c r="AD34" s="64">
        <v>2</v>
      </c>
      <c r="AE34" s="64">
        <v>2</v>
      </c>
      <c r="AF34" s="63"/>
      <c r="AG34" s="64"/>
      <c r="AH34" s="63"/>
      <c r="AI34" s="63"/>
      <c r="AJ34" s="63"/>
      <c r="AK34" s="63"/>
      <c r="AL34" s="63"/>
      <c r="AM34" s="63"/>
      <c r="AN34" s="63"/>
      <c r="AO34" s="64"/>
      <c r="AP34" s="64">
        <f t="shared" si="1"/>
        <v>4</v>
      </c>
      <c r="AQ34" s="63"/>
      <c r="AR34" s="63">
        <v>2</v>
      </c>
      <c r="AS34" s="64"/>
      <c r="AT34" s="63"/>
      <c r="AU34" s="63"/>
      <c r="AV34" s="63"/>
      <c r="AW34" s="63">
        <v>2</v>
      </c>
      <c r="AX34" s="63"/>
      <c r="AY34" s="63">
        <v>2</v>
      </c>
      <c r="AZ34" s="63">
        <v>2</v>
      </c>
      <c r="BA34" s="63"/>
      <c r="BB34" s="63"/>
      <c r="BC34" s="63"/>
      <c r="BD34" s="63"/>
      <c r="BE34" s="63"/>
      <c r="BF34" s="63"/>
      <c r="BG34" s="64">
        <f t="shared" si="2"/>
        <v>8</v>
      </c>
      <c r="BH34" s="64"/>
      <c r="BI34" s="64"/>
      <c r="BJ34" s="63"/>
      <c r="BK34" s="63"/>
      <c r="BL34" s="64"/>
      <c r="BM34" s="63"/>
      <c r="BN34" s="63"/>
      <c r="BO34" s="63"/>
      <c r="BP34" s="63"/>
      <c r="BQ34" s="64"/>
      <c r="BR34" s="63"/>
      <c r="BS34" s="63"/>
      <c r="BT34" s="63"/>
      <c r="BU34" s="63"/>
      <c r="BV34" s="63"/>
      <c r="BW34" s="63"/>
      <c r="BX34" s="64">
        <f t="shared" si="3"/>
        <v>0</v>
      </c>
      <c r="BY34" s="64"/>
      <c r="BZ34" s="63"/>
      <c r="CA34" s="63"/>
      <c r="CB34" s="63"/>
      <c r="CC34" s="63"/>
      <c r="CD34" s="63"/>
      <c r="CE34" s="63"/>
      <c r="CF34" s="63"/>
      <c r="CG34" s="63"/>
      <c r="CH34" s="63"/>
      <c r="CI34" s="64"/>
      <c r="CJ34" s="63"/>
      <c r="CK34" s="63"/>
      <c r="CL34" s="63"/>
      <c r="CM34" s="63"/>
      <c r="CN34" s="63"/>
      <c r="CO34" s="64">
        <f t="shared" si="4"/>
        <v>0</v>
      </c>
      <c r="CP34" s="63"/>
      <c r="CQ34" s="63"/>
      <c r="CR34" s="63"/>
      <c r="CS34" s="64"/>
      <c r="CT34" s="64"/>
      <c r="CU34" s="64"/>
      <c r="CV34" s="63"/>
      <c r="CW34" s="63"/>
      <c r="CX34" s="63"/>
      <c r="CY34" s="63"/>
      <c r="CZ34" s="63"/>
      <c r="DA34" s="63"/>
      <c r="DB34" s="63"/>
      <c r="DC34" s="63"/>
      <c r="DD34" s="63"/>
      <c r="DE34" s="64"/>
      <c r="DF34" s="63">
        <f t="shared" si="5"/>
        <v>0</v>
      </c>
      <c r="DG34" s="64"/>
      <c r="DH34" s="64">
        <f t="shared" si="6"/>
        <v>12</v>
      </c>
      <c r="DI34" s="64">
        <f t="shared" si="7"/>
        <v>0</v>
      </c>
      <c r="DJ34" s="63">
        <f t="shared" si="8"/>
        <v>0</v>
      </c>
      <c r="DK34" s="63">
        <f t="shared" si="9"/>
        <v>12</v>
      </c>
    </row>
    <row r="35" spans="1:115" x14ac:dyDescent="0.35">
      <c r="A35" s="46"/>
      <c r="B35" s="47" t="s">
        <v>45</v>
      </c>
      <c r="C35" s="48">
        <v>6</v>
      </c>
      <c r="D35" s="49">
        <v>178</v>
      </c>
      <c r="E35" s="50">
        <v>100844916</v>
      </c>
      <c r="F35" s="51" t="s">
        <v>49</v>
      </c>
      <c r="G35" s="52">
        <v>2</v>
      </c>
      <c r="H35" s="52"/>
      <c r="I35" s="53"/>
      <c r="J35" s="54"/>
      <c r="K35" s="54"/>
      <c r="L35" s="54"/>
      <c r="M35" s="55"/>
      <c r="N35" s="55"/>
      <c r="O35" s="55"/>
      <c r="P35" s="55"/>
      <c r="Q35" s="54"/>
      <c r="R35" s="54"/>
      <c r="S35" s="54"/>
      <c r="T35" s="54"/>
      <c r="U35" s="54"/>
      <c r="V35" s="56"/>
      <c r="W35" s="56"/>
      <c r="X35" s="55"/>
      <c r="Y35" s="55">
        <f t="shared" si="0"/>
        <v>0</v>
      </c>
      <c r="Z35" s="55"/>
      <c r="AA35" s="54"/>
      <c r="AB35" s="55"/>
      <c r="AC35" s="55"/>
      <c r="AD35" s="55">
        <v>2</v>
      </c>
      <c r="AE35" s="55"/>
      <c r="AF35" s="54"/>
      <c r="AG35" s="55"/>
      <c r="AH35" s="54"/>
      <c r="AI35" s="54"/>
      <c r="AJ35" s="54"/>
      <c r="AK35" s="54"/>
      <c r="AL35" s="54"/>
      <c r="AM35" s="56"/>
      <c r="AN35" s="56"/>
      <c r="AO35" s="55"/>
      <c r="AP35" s="55">
        <f t="shared" si="1"/>
        <v>2</v>
      </c>
      <c r="AQ35" s="56"/>
      <c r="AR35" s="54">
        <v>2</v>
      </c>
      <c r="AS35" s="55"/>
      <c r="AT35" s="54"/>
      <c r="AU35" s="54"/>
      <c r="AV35" s="54"/>
      <c r="AW35" s="54">
        <v>2</v>
      </c>
      <c r="AX35" s="54"/>
      <c r="AY35" s="54">
        <v>2</v>
      </c>
      <c r="AZ35" s="54">
        <v>2</v>
      </c>
      <c r="BA35" s="54"/>
      <c r="BB35" s="54"/>
      <c r="BC35" s="54"/>
      <c r="BD35" s="54"/>
      <c r="BE35" s="56"/>
      <c r="BF35" s="56"/>
      <c r="BG35" s="55">
        <f t="shared" si="2"/>
        <v>8</v>
      </c>
      <c r="BH35" s="55"/>
      <c r="BI35" s="55"/>
      <c r="BJ35" s="54"/>
      <c r="BK35" s="54"/>
      <c r="BL35" s="55"/>
      <c r="BM35" s="54"/>
      <c r="BN35" s="54"/>
      <c r="BO35" s="54"/>
      <c r="BP35" s="54"/>
      <c r="BQ35" s="55"/>
      <c r="BR35" s="54"/>
      <c r="BS35" s="54"/>
      <c r="BT35" s="54"/>
      <c r="BU35" s="54"/>
      <c r="BV35" s="56"/>
      <c r="BW35" s="56"/>
      <c r="BX35" s="55">
        <f t="shared" si="3"/>
        <v>0</v>
      </c>
      <c r="BY35" s="55"/>
      <c r="BZ35" s="54"/>
      <c r="CA35" s="54"/>
      <c r="CB35" s="54"/>
      <c r="CC35" s="54"/>
      <c r="CD35" s="54"/>
      <c r="CE35" s="54"/>
      <c r="CF35" s="54"/>
      <c r="CG35" s="54"/>
      <c r="CH35" s="54"/>
      <c r="CI35" s="55"/>
      <c r="CJ35" s="54"/>
      <c r="CK35" s="54"/>
      <c r="CL35" s="54"/>
      <c r="CM35" s="56"/>
      <c r="CN35" s="56"/>
      <c r="CO35" s="55">
        <f t="shared" si="4"/>
        <v>0</v>
      </c>
      <c r="CP35" s="56"/>
      <c r="CQ35" s="54"/>
      <c r="CR35" s="54"/>
      <c r="CS35" s="55"/>
      <c r="CT35" s="55"/>
      <c r="CU35" s="55"/>
      <c r="CV35" s="54"/>
      <c r="CW35" s="54"/>
      <c r="CX35" s="54"/>
      <c r="CY35" s="54"/>
      <c r="CZ35" s="54"/>
      <c r="DA35" s="54"/>
      <c r="DB35" s="54"/>
      <c r="DC35" s="56"/>
      <c r="DD35" s="56"/>
      <c r="DE35" s="55"/>
      <c r="DF35" s="56">
        <f t="shared" si="5"/>
        <v>0</v>
      </c>
      <c r="DG35" s="55"/>
      <c r="DH35" s="55">
        <f t="shared" si="6"/>
        <v>10</v>
      </c>
      <c r="DI35" s="55">
        <f t="shared" si="7"/>
        <v>0</v>
      </c>
      <c r="DJ35" s="54">
        <f t="shared" si="8"/>
        <v>2</v>
      </c>
      <c r="DK35" s="54">
        <f t="shared" si="9"/>
        <v>8</v>
      </c>
    </row>
    <row r="36" spans="1:115" x14ac:dyDescent="0.35">
      <c r="A36" s="57"/>
      <c r="B36" s="58" t="s">
        <v>66</v>
      </c>
      <c r="C36" s="59">
        <v>6</v>
      </c>
      <c r="D36" s="58">
        <v>237</v>
      </c>
      <c r="E36" s="60">
        <v>100846431</v>
      </c>
      <c r="F36" s="61" t="s">
        <v>81</v>
      </c>
      <c r="G36" s="62">
        <v>0</v>
      </c>
      <c r="H36" s="62"/>
      <c r="I36" s="63"/>
      <c r="J36" s="63"/>
      <c r="K36" s="63"/>
      <c r="L36" s="63"/>
      <c r="M36" s="64"/>
      <c r="N36" s="64"/>
      <c r="O36" s="64"/>
      <c r="P36" s="64"/>
      <c r="Q36" s="63"/>
      <c r="R36" s="63"/>
      <c r="S36" s="63"/>
      <c r="T36" s="63"/>
      <c r="U36" s="63"/>
      <c r="V36" s="63"/>
      <c r="W36" s="63"/>
      <c r="X36" s="64"/>
      <c r="Y36" s="64">
        <f t="shared" si="0"/>
        <v>0</v>
      </c>
      <c r="Z36" s="64"/>
      <c r="AA36" s="63"/>
      <c r="AB36" s="64"/>
      <c r="AC36" s="64"/>
      <c r="AD36" s="64">
        <v>2</v>
      </c>
      <c r="AE36" s="64"/>
      <c r="AF36" s="63"/>
      <c r="AG36" s="64"/>
      <c r="AH36" s="63"/>
      <c r="AI36" s="63"/>
      <c r="AJ36" s="63"/>
      <c r="AK36" s="63"/>
      <c r="AL36" s="63"/>
      <c r="AM36" s="63"/>
      <c r="AN36" s="63"/>
      <c r="AO36" s="64"/>
      <c r="AP36" s="64">
        <f t="shared" si="1"/>
        <v>2</v>
      </c>
      <c r="AQ36" s="63"/>
      <c r="AR36" s="63">
        <v>2</v>
      </c>
      <c r="AS36" s="64">
        <v>2</v>
      </c>
      <c r="AT36" s="63"/>
      <c r="AU36" s="63"/>
      <c r="AV36" s="63"/>
      <c r="AW36" s="63"/>
      <c r="AX36" s="63"/>
      <c r="AY36" s="63"/>
      <c r="AZ36" s="63">
        <v>2</v>
      </c>
      <c r="BA36" s="63">
        <v>2</v>
      </c>
      <c r="BB36" s="63"/>
      <c r="BC36" s="63"/>
      <c r="BD36" s="63"/>
      <c r="BE36" s="63"/>
      <c r="BF36" s="63"/>
      <c r="BG36" s="64">
        <f t="shared" si="2"/>
        <v>8</v>
      </c>
      <c r="BH36" s="64"/>
      <c r="BI36" s="64"/>
      <c r="BJ36" s="63"/>
      <c r="BK36" s="63"/>
      <c r="BL36" s="64"/>
      <c r="BM36" s="63"/>
      <c r="BN36" s="63"/>
      <c r="BO36" s="63"/>
      <c r="BP36" s="63"/>
      <c r="BQ36" s="64"/>
      <c r="BR36" s="63"/>
      <c r="BS36" s="63"/>
      <c r="BT36" s="63"/>
      <c r="BU36" s="63"/>
      <c r="BV36" s="63"/>
      <c r="BW36" s="63"/>
      <c r="BX36" s="64">
        <f t="shared" si="3"/>
        <v>0</v>
      </c>
      <c r="BY36" s="64"/>
      <c r="BZ36" s="63"/>
      <c r="CA36" s="63"/>
      <c r="CB36" s="63"/>
      <c r="CC36" s="63"/>
      <c r="CD36" s="63"/>
      <c r="CE36" s="63"/>
      <c r="CF36" s="63"/>
      <c r="CG36" s="63"/>
      <c r="CH36" s="63"/>
      <c r="CI36" s="64"/>
      <c r="CJ36" s="63"/>
      <c r="CK36" s="63"/>
      <c r="CL36" s="63"/>
      <c r="CM36" s="63"/>
      <c r="CN36" s="63"/>
      <c r="CO36" s="64">
        <f t="shared" si="4"/>
        <v>0</v>
      </c>
      <c r="CP36" s="63"/>
      <c r="CQ36" s="63"/>
      <c r="CR36" s="63"/>
      <c r="CS36" s="64"/>
      <c r="CT36" s="64"/>
      <c r="CU36" s="64"/>
      <c r="CV36" s="63"/>
      <c r="CW36" s="63"/>
      <c r="CX36" s="63"/>
      <c r="CY36" s="63"/>
      <c r="CZ36" s="63"/>
      <c r="DA36" s="63"/>
      <c r="DB36" s="63"/>
      <c r="DC36" s="63"/>
      <c r="DD36" s="63"/>
      <c r="DE36" s="64"/>
      <c r="DF36" s="63">
        <f t="shared" si="5"/>
        <v>0</v>
      </c>
      <c r="DG36" s="64"/>
      <c r="DH36" s="64">
        <f t="shared" si="6"/>
        <v>10</v>
      </c>
      <c r="DI36" s="64">
        <f t="shared" si="7"/>
        <v>0</v>
      </c>
      <c r="DJ36" s="63">
        <f t="shared" si="8"/>
        <v>0</v>
      </c>
      <c r="DK36" s="63">
        <f t="shared" si="9"/>
        <v>10</v>
      </c>
    </row>
    <row r="37" spans="1:115" x14ac:dyDescent="0.35">
      <c r="A37" s="46"/>
      <c r="B37" s="47" t="s">
        <v>69</v>
      </c>
      <c r="C37" s="48">
        <v>6</v>
      </c>
      <c r="D37" s="49">
        <v>603</v>
      </c>
      <c r="E37" s="50">
        <v>100841097</v>
      </c>
      <c r="F37" s="51" t="s">
        <v>76</v>
      </c>
      <c r="G37" s="52">
        <v>2</v>
      </c>
      <c r="H37" s="52"/>
      <c r="I37" s="53"/>
      <c r="J37" s="54"/>
      <c r="K37" s="54"/>
      <c r="L37" s="54"/>
      <c r="M37" s="55"/>
      <c r="N37" s="55"/>
      <c r="O37" s="55"/>
      <c r="P37" s="55"/>
      <c r="Q37" s="54"/>
      <c r="R37" s="54"/>
      <c r="S37" s="54"/>
      <c r="T37" s="54"/>
      <c r="U37" s="54"/>
      <c r="V37" s="56"/>
      <c r="W37" s="56"/>
      <c r="X37" s="55"/>
      <c r="Y37" s="55">
        <f t="shared" si="0"/>
        <v>0</v>
      </c>
      <c r="Z37" s="55"/>
      <c r="AA37" s="54"/>
      <c r="AB37" s="55"/>
      <c r="AC37" s="55"/>
      <c r="AD37" s="55">
        <v>2</v>
      </c>
      <c r="AE37" s="55"/>
      <c r="AF37" s="54"/>
      <c r="AG37" s="55"/>
      <c r="AH37" s="54"/>
      <c r="AI37" s="54"/>
      <c r="AJ37" s="54"/>
      <c r="AK37" s="54"/>
      <c r="AL37" s="54"/>
      <c r="AM37" s="56"/>
      <c r="AN37" s="56"/>
      <c r="AO37" s="55"/>
      <c r="AP37" s="55">
        <f t="shared" si="1"/>
        <v>2</v>
      </c>
      <c r="AQ37" s="56"/>
      <c r="AR37" s="54"/>
      <c r="AS37" s="55"/>
      <c r="AT37" s="54"/>
      <c r="AU37" s="54"/>
      <c r="AV37" s="54"/>
      <c r="AW37" s="54"/>
      <c r="AX37" s="54"/>
      <c r="AY37" s="54"/>
      <c r="AZ37" s="54">
        <v>2</v>
      </c>
      <c r="BA37" s="54"/>
      <c r="BB37" s="54"/>
      <c r="BC37" s="54"/>
      <c r="BD37" s="54"/>
      <c r="BE37" s="56"/>
      <c r="BF37" s="56"/>
      <c r="BG37" s="55">
        <f t="shared" si="2"/>
        <v>2</v>
      </c>
      <c r="BH37" s="55"/>
      <c r="BI37" s="55"/>
      <c r="BJ37" s="54"/>
      <c r="BK37" s="54"/>
      <c r="BL37" s="55"/>
      <c r="BM37" s="54"/>
      <c r="BN37" s="54"/>
      <c r="BO37" s="54"/>
      <c r="BP37" s="54"/>
      <c r="BQ37" s="55"/>
      <c r="BR37" s="54"/>
      <c r="BS37" s="54"/>
      <c r="BT37" s="54"/>
      <c r="BU37" s="54"/>
      <c r="BV37" s="56"/>
      <c r="BW37" s="56"/>
      <c r="BX37" s="55">
        <f t="shared" si="3"/>
        <v>0</v>
      </c>
      <c r="BY37" s="55"/>
      <c r="BZ37" s="54"/>
      <c r="CA37" s="54"/>
      <c r="CB37" s="54"/>
      <c r="CC37" s="54"/>
      <c r="CD37" s="54"/>
      <c r="CE37" s="54"/>
      <c r="CF37" s="54"/>
      <c r="CG37" s="54"/>
      <c r="CH37" s="54"/>
      <c r="CI37" s="55"/>
      <c r="CJ37" s="54"/>
      <c r="CK37" s="54"/>
      <c r="CL37" s="54"/>
      <c r="CM37" s="56"/>
      <c r="CN37" s="56"/>
      <c r="CO37" s="55">
        <f t="shared" si="4"/>
        <v>0</v>
      </c>
      <c r="CP37" s="56"/>
      <c r="CQ37" s="54"/>
      <c r="CR37" s="54"/>
      <c r="CS37" s="55"/>
      <c r="CT37" s="55"/>
      <c r="CU37" s="55"/>
      <c r="CV37" s="54"/>
      <c r="CW37" s="54"/>
      <c r="CX37" s="54"/>
      <c r="CY37" s="54"/>
      <c r="CZ37" s="54"/>
      <c r="DA37" s="54"/>
      <c r="DB37" s="54"/>
      <c r="DC37" s="56"/>
      <c r="DD37" s="56"/>
      <c r="DE37" s="55"/>
      <c r="DF37" s="56">
        <f t="shared" si="5"/>
        <v>0</v>
      </c>
      <c r="DG37" s="55"/>
      <c r="DH37" s="55">
        <f t="shared" si="6"/>
        <v>4</v>
      </c>
      <c r="DI37" s="55">
        <f t="shared" si="7"/>
        <v>0</v>
      </c>
      <c r="DJ37" s="54">
        <f t="shared" si="8"/>
        <v>2</v>
      </c>
      <c r="DK37" s="54">
        <f t="shared" si="9"/>
        <v>2</v>
      </c>
    </row>
    <row r="38" spans="1:115" x14ac:dyDescent="0.35">
      <c r="A38" s="57"/>
      <c r="B38" s="58" t="s">
        <v>47</v>
      </c>
      <c r="C38" s="59">
        <v>6</v>
      </c>
      <c r="D38" s="58">
        <v>134</v>
      </c>
      <c r="E38" s="60">
        <v>100842011</v>
      </c>
      <c r="F38" s="61" t="s">
        <v>48</v>
      </c>
      <c r="G38" s="62">
        <v>0</v>
      </c>
      <c r="H38" s="62"/>
      <c r="I38" s="63"/>
      <c r="J38" s="63"/>
      <c r="K38" s="63"/>
      <c r="L38" s="63"/>
      <c r="M38" s="64"/>
      <c r="N38" s="64"/>
      <c r="O38" s="64"/>
      <c r="P38" s="64"/>
      <c r="Q38" s="63"/>
      <c r="R38" s="63"/>
      <c r="S38" s="63"/>
      <c r="T38" s="63"/>
      <c r="U38" s="63"/>
      <c r="V38" s="63"/>
      <c r="W38" s="63"/>
      <c r="X38" s="64"/>
      <c r="Y38" s="64">
        <f t="shared" si="0"/>
        <v>0</v>
      </c>
      <c r="Z38" s="64"/>
      <c r="AA38" s="63"/>
      <c r="AB38" s="64"/>
      <c r="AC38" s="64"/>
      <c r="AD38" s="64">
        <v>2</v>
      </c>
      <c r="AE38" s="64">
        <v>2</v>
      </c>
      <c r="AF38" s="63"/>
      <c r="AG38" s="64"/>
      <c r="AH38" s="63"/>
      <c r="AI38" s="63"/>
      <c r="AJ38" s="63"/>
      <c r="AK38" s="63"/>
      <c r="AL38" s="63"/>
      <c r="AM38" s="63"/>
      <c r="AN38" s="63"/>
      <c r="AO38" s="64"/>
      <c r="AP38" s="64">
        <f t="shared" si="1"/>
        <v>4</v>
      </c>
      <c r="AQ38" s="63"/>
      <c r="AR38" s="63"/>
      <c r="AS38" s="64"/>
      <c r="AT38" s="63">
        <v>2</v>
      </c>
      <c r="AU38" s="63"/>
      <c r="AV38" s="63"/>
      <c r="AW38" s="63">
        <v>2</v>
      </c>
      <c r="AX38" s="63"/>
      <c r="AY38" s="63">
        <v>2</v>
      </c>
      <c r="AZ38" s="63">
        <v>2</v>
      </c>
      <c r="BA38" s="63"/>
      <c r="BB38" s="63"/>
      <c r="BC38" s="63"/>
      <c r="BD38" s="63"/>
      <c r="BE38" s="63"/>
      <c r="BF38" s="63"/>
      <c r="BG38" s="64">
        <f t="shared" si="2"/>
        <v>8</v>
      </c>
      <c r="BH38" s="64"/>
      <c r="BI38" s="64"/>
      <c r="BJ38" s="63"/>
      <c r="BK38" s="63"/>
      <c r="BL38" s="64"/>
      <c r="BM38" s="63"/>
      <c r="BN38" s="63"/>
      <c r="BO38" s="63"/>
      <c r="BP38" s="63"/>
      <c r="BQ38" s="64"/>
      <c r="BR38" s="63"/>
      <c r="BS38" s="63"/>
      <c r="BT38" s="63"/>
      <c r="BU38" s="63"/>
      <c r="BV38" s="63"/>
      <c r="BW38" s="63"/>
      <c r="BX38" s="64">
        <f t="shared" si="3"/>
        <v>0</v>
      </c>
      <c r="BY38" s="64"/>
      <c r="BZ38" s="63"/>
      <c r="CA38" s="63"/>
      <c r="CB38" s="63"/>
      <c r="CC38" s="63"/>
      <c r="CD38" s="63"/>
      <c r="CE38" s="63"/>
      <c r="CF38" s="63"/>
      <c r="CG38" s="63"/>
      <c r="CH38" s="63"/>
      <c r="CI38" s="64"/>
      <c r="CJ38" s="63"/>
      <c r="CK38" s="63"/>
      <c r="CL38" s="63"/>
      <c r="CM38" s="63"/>
      <c r="CN38" s="63"/>
      <c r="CO38" s="64">
        <f t="shared" si="4"/>
        <v>0</v>
      </c>
      <c r="CP38" s="63"/>
      <c r="CQ38" s="63"/>
      <c r="CR38" s="63"/>
      <c r="CS38" s="64"/>
      <c r="CT38" s="64"/>
      <c r="CU38" s="64"/>
      <c r="CV38" s="63"/>
      <c r="CW38" s="63"/>
      <c r="CX38" s="63"/>
      <c r="CY38" s="63"/>
      <c r="CZ38" s="63"/>
      <c r="DA38" s="63"/>
      <c r="DB38" s="63"/>
      <c r="DC38" s="63"/>
      <c r="DD38" s="63"/>
      <c r="DE38" s="64"/>
      <c r="DF38" s="63">
        <f t="shared" si="5"/>
        <v>0</v>
      </c>
      <c r="DG38" s="64"/>
      <c r="DH38" s="64">
        <f t="shared" si="6"/>
        <v>12</v>
      </c>
      <c r="DI38" s="64">
        <f t="shared" si="7"/>
        <v>0</v>
      </c>
      <c r="DJ38" s="63">
        <f t="shared" si="8"/>
        <v>0</v>
      </c>
      <c r="DK38" s="63">
        <f t="shared" si="9"/>
        <v>12</v>
      </c>
    </row>
    <row r="39" spans="1:115" x14ac:dyDescent="0.35">
      <c r="A39" s="46"/>
      <c r="B39" s="47" t="s">
        <v>66</v>
      </c>
      <c r="C39" s="48">
        <v>6</v>
      </c>
      <c r="D39" s="49">
        <v>386</v>
      </c>
      <c r="E39" s="50">
        <v>100842737</v>
      </c>
      <c r="F39" s="51" t="s">
        <v>83</v>
      </c>
      <c r="G39" s="52">
        <v>0</v>
      </c>
      <c r="H39" s="52"/>
      <c r="I39" s="53"/>
      <c r="J39" s="54"/>
      <c r="K39" s="54"/>
      <c r="L39" s="54"/>
      <c r="M39" s="55"/>
      <c r="N39" s="55"/>
      <c r="O39" s="55"/>
      <c r="P39" s="55"/>
      <c r="Q39" s="54"/>
      <c r="R39" s="54"/>
      <c r="S39" s="54"/>
      <c r="T39" s="54"/>
      <c r="U39" s="54"/>
      <c r="V39" s="56"/>
      <c r="W39" s="56"/>
      <c r="X39" s="55"/>
      <c r="Y39" s="55">
        <f t="shared" ref="Y39:Y55" si="10">SUM(J39:X39)</f>
        <v>0</v>
      </c>
      <c r="Z39" s="55"/>
      <c r="AA39" s="54"/>
      <c r="AB39" s="55"/>
      <c r="AC39" s="55"/>
      <c r="AD39" s="55">
        <v>2</v>
      </c>
      <c r="AE39" s="55"/>
      <c r="AF39" s="54"/>
      <c r="AG39" s="55"/>
      <c r="AH39" s="54"/>
      <c r="AI39" s="54"/>
      <c r="AJ39" s="54"/>
      <c r="AK39" s="54"/>
      <c r="AL39" s="54"/>
      <c r="AM39" s="56"/>
      <c r="AN39" s="56"/>
      <c r="AO39" s="55"/>
      <c r="AP39" s="55">
        <f t="shared" ref="AP39:AP55" si="11">SUM(AA39:AO39)</f>
        <v>2</v>
      </c>
      <c r="AQ39" s="56"/>
      <c r="AR39" s="54"/>
      <c r="AS39" s="55"/>
      <c r="AT39" s="54"/>
      <c r="AU39" s="54"/>
      <c r="AV39" s="54"/>
      <c r="AW39" s="54">
        <v>2</v>
      </c>
      <c r="AX39" s="54">
        <v>2</v>
      </c>
      <c r="AY39" s="54"/>
      <c r="AZ39" s="54">
        <v>2</v>
      </c>
      <c r="BA39" s="54"/>
      <c r="BB39" s="54"/>
      <c r="BC39" s="54"/>
      <c r="BD39" s="54"/>
      <c r="BE39" s="56"/>
      <c r="BF39" s="56"/>
      <c r="BG39" s="55">
        <f t="shared" ref="BG39:BG55" si="12">SUM(AR39:BF39)</f>
        <v>6</v>
      </c>
      <c r="BH39" s="55"/>
      <c r="BI39" s="55"/>
      <c r="BJ39" s="54"/>
      <c r="BK39" s="54"/>
      <c r="BL39" s="55"/>
      <c r="BM39" s="54"/>
      <c r="BN39" s="54"/>
      <c r="BO39" s="54"/>
      <c r="BP39" s="54"/>
      <c r="BQ39" s="55"/>
      <c r="BR39" s="54"/>
      <c r="BS39" s="54"/>
      <c r="BT39" s="54"/>
      <c r="BU39" s="54"/>
      <c r="BV39" s="56"/>
      <c r="BW39" s="56"/>
      <c r="BX39" s="55">
        <f t="shared" ref="BX39:BX55" si="13">SUM(BI39:BW39)</f>
        <v>0</v>
      </c>
      <c r="BY39" s="55"/>
      <c r="BZ39" s="54"/>
      <c r="CA39" s="54"/>
      <c r="CB39" s="54"/>
      <c r="CC39" s="54"/>
      <c r="CD39" s="54"/>
      <c r="CE39" s="54"/>
      <c r="CF39" s="54"/>
      <c r="CG39" s="54"/>
      <c r="CH39" s="54"/>
      <c r="CI39" s="55"/>
      <c r="CJ39" s="54"/>
      <c r="CK39" s="54"/>
      <c r="CL39" s="54"/>
      <c r="CM39" s="56"/>
      <c r="CN39" s="56"/>
      <c r="CO39" s="55">
        <f t="shared" ref="CO39:CO55" si="14">SUM(BZ39:CN39)</f>
        <v>0</v>
      </c>
      <c r="CP39" s="56"/>
      <c r="CQ39" s="54"/>
      <c r="CR39" s="54"/>
      <c r="CS39" s="55"/>
      <c r="CT39" s="55"/>
      <c r="CU39" s="55"/>
      <c r="CV39" s="54"/>
      <c r="CW39" s="54"/>
      <c r="CX39" s="54"/>
      <c r="CY39" s="54"/>
      <c r="CZ39" s="54"/>
      <c r="DA39" s="54"/>
      <c r="DB39" s="54"/>
      <c r="DC39" s="56"/>
      <c r="DD39" s="56"/>
      <c r="DE39" s="55"/>
      <c r="DF39" s="56">
        <f t="shared" ref="DF39:DF55" si="15">SUM(CQ39:DE39)</f>
        <v>0</v>
      </c>
      <c r="DG39" s="55"/>
      <c r="DH39" s="55">
        <f t="shared" ref="DH39:DH55" si="16">SUM(Y39,AP39,BG39,BX39,CO39,DF39)</f>
        <v>8</v>
      </c>
      <c r="DI39" s="55">
        <f t="shared" ref="DI39:DI55" si="17">H39</f>
        <v>0</v>
      </c>
      <c r="DJ39" s="54">
        <f t="shared" ref="DJ39:DJ55" si="18">G39</f>
        <v>0</v>
      </c>
      <c r="DK39" s="54">
        <f t="shared" ref="DK39:DK55" si="19">DH39+DI39-DJ39</f>
        <v>8</v>
      </c>
    </row>
    <row r="40" spans="1:115" x14ac:dyDescent="0.35">
      <c r="A40" s="57"/>
      <c r="B40" s="58" t="s">
        <v>45</v>
      </c>
      <c r="C40" s="59">
        <v>6</v>
      </c>
      <c r="D40" s="58">
        <v>157</v>
      </c>
      <c r="E40" s="60">
        <v>100842095</v>
      </c>
      <c r="F40" s="61" t="s">
        <v>50</v>
      </c>
      <c r="G40" s="62">
        <v>0</v>
      </c>
      <c r="H40" s="62"/>
      <c r="I40" s="63"/>
      <c r="J40" s="63"/>
      <c r="K40" s="63"/>
      <c r="L40" s="63"/>
      <c r="M40" s="64"/>
      <c r="N40" s="64"/>
      <c r="O40" s="64"/>
      <c r="P40" s="64"/>
      <c r="Q40" s="63"/>
      <c r="R40" s="63"/>
      <c r="S40" s="63"/>
      <c r="T40" s="63"/>
      <c r="U40" s="63"/>
      <c r="V40" s="63"/>
      <c r="W40" s="63"/>
      <c r="X40" s="64"/>
      <c r="Y40" s="64">
        <f t="shared" si="10"/>
        <v>0</v>
      </c>
      <c r="Z40" s="64"/>
      <c r="AA40" s="63"/>
      <c r="AB40" s="64"/>
      <c r="AC40" s="64"/>
      <c r="AD40" s="64">
        <v>2</v>
      </c>
      <c r="AE40" s="64">
        <v>2</v>
      </c>
      <c r="AF40" s="63"/>
      <c r="AG40" s="64"/>
      <c r="AH40" s="63"/>
      <c r="AI40" s="63"/>
      <c r="AJ40" s="63"/>
      <c r="AK40" s="63"/>
      <c r="AL40" s="63"/>
      <c r="AM40" s="63"/>
      <c r="AN40" s="63"/>
      <c r="AO40" s="64"/>
      <c r="AP40" s="64">
        <f t="shared" si="11"/>
        <v>4</v>
      </c>
      <c r="AQ40" s="63"/>
      <c r="AR40" s="63"/>
      <c r="AS40" s="64"/>
      <c r="AT40" s="63">
        <v>2</v>
      </c>
      <c r="AU40" s="63"/>
      <c r="AV40" s="63"/>
      <c r="AW40" s="63">
        <v>2</v>
      </c>
      <c r="AX40" s="63"/>
      <c r="AY40" s="63">
        <v>2</v>
      </c>
      <c r="AZ40" s="63">
        <v>2</v>
      </c>
      <c r="BA40" s="63"/>
      <c r="BB40" s="63"/>
      <c r="BC40" s="63"/>
      <c r="BD40" s="63"/>
      <c r="BE40" s="63"/>
      <c r="BF40" s="63"/>
      <c r="BG40" s="64">
        <f t="shared" si="12"/>
        <v>8</v>
      </c>
      <c r="BH40" s="64"/>
      <c r="BI40" s="64"/>
      <c r="BJ40" s="63"/>
      <c r="BK40" s="63"/>
      <c r="BL40" s="64"/>
      <c r="BM40" s="63"/>
      <c r="BN40" s="63"/>
      <c r="BO40" s="63"/>
      <c r="BP40" s="63"/>
      <c r="BQ40" s="64"/>
      <c r="BR40" s="63"/>
      <c r="BS40" s="63"/>
      <c r="BT40" s="63"/>
      <c r="BU40" s="63"/>
      <c r="BV40" s="63"/>
      <c r="BW40" s="63"/>
      <c r="BX40" s="64">
        <f t="shared" si="13"/>
        <v>0</v>
      </c>
      <c r="BY40" s="64"/>
      <c r="BZ40" s="63"/>
      <c r="CA40" s="63"/>
      <c r="CB40" s="63"/>
      <c r="CC40" s="63"/>
      <c r="CD40" s="63"/>
      <c r="CE40" s="63"/>
      <c r="CF40" s="63"/>
      <c r="CG40" s="63"/>
      <c r="CH40" s="63"/>
      <c r="CI40" s="64"/>
      <c r="CJ40" s="63"/>
      <c r="CK40" s="63"/>
      <c r="CL40" s="63"/>
      <c r="CM40" s="63"/>
      <c r="CN40" s="63"/>
      <c r="CO40" s="64">
        <f t="shared" si="14"/>
        <v>0</v>
      </c>
      <c r="CP40" s="63"/>
      <c r="CQ40" s="63"/>
      <c r="CR40" s="63"/>
      <c r="CS40" s="64"/>
      <c r="CT40" s="64"/>
      <c r="CU40" s="64"/>
      <c r="CV40" s="63"/>
      <c r="CW40" s="63"/>
      <c r="CX40" s="63"/>
      <c r="CY40" s="63"/>
      <c r="CZ40" s="63"/>
      <c r="DA40" s="63"/>
      <c r="DB40" s="63"/>
      <c r="DC40" s="63"/>
      <c r="DD40" s="63"/>
      <c r="DE40" s="64"/>
      <c r="DF40" s="63">
        <f t="shared" si="15"/>
        <v>0</v>
      </c>
      <c r="DG40" s="64"/>
      <c r="DH40" s="64">
        <f t="shared" si="16"/>
        <v>12</v>
      </c>
      <c r="DI40" s="64">
        <f t="shared" si="17"/>
        <v>0</v>
      </c>
      <c r="DJ40" s="63">
        <f t="shared" si="18"/>
        <v>0</v>
      </c>
      <c r="DK40" s="63">
        <f t="shared" si="19"/>
        <v>12</v>
      </c>
    </row>
    <row r="41" spans="1:115" x14ac:dyDescent="0.35">
      <c r="A41" s="46"/>
      <c r="B41" s="47" t="s">
        <v>66</v>
      </c>
      <c r="C41" s="48">
        <v>5</v>
      </c>
      <c r="D41" s="49">
        <v>501</v>
      </c>
      <c r="E41" s="50">
        <v>100838860</v>
      </c>
      <c r="F41" s="51" t="s">
        <v>72</v>
      </c>
      <c r="G41" s="52">
        <v>0</v>
      </c>
      <c r="H41" s="52"/>
      <c r="I41" s="53"/>
      <c r="J41" s="54"/>
      <c r="K41" s="54"/>
      <c r="L41" s="54"/>
      <c r="M41" s="55"/>
      <c r="N41" s="55"/>
      <c r="O41" s="55"/>
      <c r="P41" s="55"/>
      <c r="Q41" s="54"/>
      <c r="R41" s="54"/>
      <c r="S41" s="54"/>
      <c r="T41" s="54"/>
      <c r="U41" s="54"/>
      <c r="V41" s="56"/>
      <c r="W41" s="56"/>
      <c r="X41" s="55"/>
      <c r="Y41" s="55">
        <f t="shared" si="10"/>
        <v>0</v>
      </c>
      <c r="Z41" s="55"/>
      <c r="AA41" s="54"/>
      <c r="AB41" s="55"/>
      <c r="AC41" s="55"/>
      <c r="AD41" s="55">
        <v>2</v>
      </c>
      <c r="AE41" s="55"/>
      <c r="AF41" s="54"/>
      <c r="AG41" s="55">
        <v>2</v>
      </c>
      <c r="AH41" s="54"/>
      <c r="AI41" s="54"/>
      <c r="AJ41" s="54"/>
      <c r="AK41" s="54"/>
      <c r="AL41" s="54"/>
      <c r="AM41" s="56"/>
      <c r="AN41" s="56"/>
      <c r="AO41" s="55"/>
      <c r="AP41" s="55">
        <f t="shared" si="11"/>
        <v>4</v>
      </c>
      <c r="AQ41" s="56"/>
      <c r="AR41" s="54"/>
      <c r="AS41" s="55"/>
      <c r="AT41" s="54">
        <v>2</v>
      </c>
      <c r="AU41" s="54"/>
      <c r="AV41" s="54"/>
      <c r="AW41" s="54"/>
      <c r="AX41" s="54"/>
      <c r="AY41" s="54">
        <v>2</v>
      </c>
      <c r="AZ41" s="54"/>
      <c r="BA41" s="54"/>
      <c r="BB41" s="54"/>
      <c r="BC41" s="54"/>
      <c r="BD41" s="54"/>
      <c r="BE41" s="56"/>
      <c r="BF41" s="56"/>
      <c r="BG41" s="55">
        <f t="shared" si="12"/>
        <v>4</v>
      </c>
      <c r="BH41" s="55"/>
      <c r="BI41" s="55"/>
      <c r="BJ41" s="54"/>
      <c r="BK41" s="54"/>
      <c r="BL41" s="55"/>
      <c r="BM41" s="54"/>
      <c r="BN41" s="54"/>
      <c r="BO41" s="54"/>
      <c r="BP41" s="54"/>
      <c r="BQ41" s="55"/>
      <c r="BR41" s="54"/>
      <c r="BS41" s="54"/>
      <c r="BT41" s="54"/>
      <c r="BU41" s="54"/>
      <c r="BV41" s="56"/>
      <c r="BW41" s="56"/>
      <c r="BX41" s="55">
        <f t="shared" si="13"/>
        <v>0</v>
      </c>
      <c r="BY41" s="55"/>
      <c r="BZ41" s="54"/>
      <c r="CA41" s="54"/>
      <c r="CB41" s="54"/>
      <c r="CC41" s="54"/>
      <c r="CD41" s="54"/>
      <c r="CE41" s="54"/>
      <c r="CF41" s="54"/>
      <c r="CG41" s="54"/>
      <c r="CH41" s="54"/>
      <c r="CI41" s="55"/>
      <c r="CJ41" s="54"/>
      <c r="CK41" s="54"/>
      <c r="CL41" s="54"/>
      <c r="CM41" s="56"/>
      <c r="CN41" s="56"/>
      <c r="CO41" s="55">
        <f t="shared" si="14"/>
        <v>0</v>
      </c>
      <c r="CP41" s="56"/>
      <c r="CQ41" s="54"/>
      <c r="CR41" s="54"/>
      <c r="CS41" s="55"/>
      <c r="CT41" s="55"/>
      <c r="CU41" s="55"/>
      <c r="CV41" s="54"/>
      <c r="CW41" s="54"/>
      <c r="CX41" s="54"/>
      <c r="CY41" s="54"/>
      <c r="CZ41" s="54"/>
      <c r="DA41" s="54"/>
      <c r="DB41" s="54"/>
      <c r="DC41" s="56"/>
      <c r="DD41" s="56"/>
      <c r="DE41" s="55"/>
      <c r="DF41" s="56">
        <f t="shared" si="15"/>
        <v>0</v>
      </c>
      <c r="DG41" s="55"/>
      <c r="DH41" s="55">
        <f t="shared" si="16"/>
        <v>8</v>
      </c>
      <c r="DI41" s="55">
        <f t="shared" si="17"/>
        <v>0</v>
      </c>
      <c r="DJ41" s="54">
        <f t="shared" si="18"/>
        <v>0</v>
      </c>
      <c r="DK41" s="54">
        <f t="shared" si="19"/>
        <v>8</v>
      </c>
    </row>
    <row r="42" spans="1:115" x14ac:dyDescent="0.35">
      <c r="A42" s="57"/>
      <c r="B42" s="58" t="s">
        <v>66</v>
      </c>
      <c r="C42" s="59">
        <v>4</v>
      </c>
      <c r="D42" s="58">
        <v>356</v>
      </c>
      <c r="E42" s="60">
        <v>100842522</v>
      </c>
      <c r="F42" s="61" t="s">
        <v>68</v>
      </c>
      <c r="G42" s="62">
        <v>0</v>
      </c>
      <c r="H42" s="62"/>
      <c r="I42" s="63"/>
      <c r="J42" s="63"/>
      <c r="K42" s="63"/>
      <c r="L42" s="63"/>
      <c r="M42" s="64"/>
      <c r="N42" s="64"/>
      <c r="O42" s="64"/>
      <c r="P42" s="64"/>
      <c r="Q42" s="63"/>
      <c r="R42" s="63"/>
      <c r="S42" s="63"/>
      <c r="T42" s="63"/>
      <c r="U42" s="63"/>
      <c r="V42" s="63"/>
      <c r="W42" s="63"/>
      <c r="X42" s="64"/>
      <c r="Y42" s="64">
        <f t="shared" si="10"/>
        <v>0</v>
      </c>
      <c r="Z42" s="64"/>
      <c r="AA42" s="63"/>
      <c r="AB42" s="64"/>
      <c r="AC42" s="64"/>
      <c r="AD42" s="64">
        <v>2</v>
      </c>
      <c r="AE42" s="64">
        <v>2</v>
      </c>
      <c r="AF42" s="63"/>
      <c r="AG42" s="64">
        <v>2</v>
      </c>
      <c r="AH42" s="63">
        <v>2</v>
      </c>
      <c r="AI42" s="63"/>
      <c r="AJ42" s="63"/>
      <c r="AK42" s="63"/>
      <c r="AL42" s="63"/>
      <c r="AM42" s="63"/>
      <c r="AN42" s="63"/>
      <c r="AO42" s="64"/>
      <c r="AP42" s="64">
        <f t="shared" si="11"/>
        <v>8</v>
      </c>
      <c r="AQ42" s="63"/>
      <c r="AR42" s="63"/>
      <c r="AS42" s="64"/>
      <c r="AT42" s="63">
        <v>2</v>
      </c>
      <c r="AU42" s="63"/>
      <c r="AV42" s="63"/>
      <c r="AW42" s="63"/>
      <c r="AX42" s="63"/>
      <c r="AY42" s="63">
        <v>2</v>
      </c>
      <c r="AZ42" s="63">
        <v>2</v>
      </c>
      <c r="BA42" s="63"/>
      <c r="BB42" s="63"/>
      <c r="BC42" s="63"/>
      <c r="BD42" s="63"/>
      <c r="BE42" s="63"/>
      <c r="BF42" s="63"/>
      <c r="BG42" s="64">
        <f t="shared" si="12"/>
        <v>6</v>
      </c>
      <c r="BH42" s="64"/>
      <c r="BI42" s="64"/>
      <c r="BJ42" s="63"/>
      <c r="BK42" s="63"/>
      <c r="BL42" s="64"/>
      <c r="BM42" s="63"/>
      <c r="BN42" s="63"/>
      <c r="BO42" s="63"/>
      <c r="BP42" s="63"/>
      <c r="BQ42" s="64"/>
      <c r="BR42" s="63"/>
      <c r="BS42" s="63"/>
      <c r="BT42" s="63"/>
      <c r="BU42" s="63"/>
      <c r="BV42" s="63"/>
      <c r="BW42" s="63"/>
      <c r="BX42" s="64">
        <f t="shared" si="13"/>
        <v>0</v>
      </c>
      <c r="BY42" s="64"/>
      <c r="BZ42" s="63"/>
      <c r="CA42" s="63"/>
      <c r="CB42" s="63"/>
      <c r="CC42" s="63"/>
      <c r="CD42" s="63"/>
      <c r="CE42" s="63"/>
      <c r="CF42" s="63"/>
      <c r="CG42" s="63"/>
      <c r="CH42" s="63"/>
      <c r="CI42" s="64"/>
      <c r="CJ42" s="63"/>
      <c r="CK42" s="63"/>
      <c r="CL42" s="63"/>
      <c r="CM42" s="63"/>
      <c r="CN42" s="63"/>
      <c r="CO42" s="64">
        <f t="shared" si="14"/>
        <v>0</v>
      </c>
      <c r="CP42" s="63"/>
      <c r="CQ42" s="63"/>
      <c r="CR42" s="63"/>
      <c r="CS42" s="64"/>
      <c r="CT42" s="64"/>
      <c r="CU42" s="64"/>
      <c r="CV42" s="63"/>
      <c r="CW42" s="63"/>
      <c r="CX42" s="63"/>
      <c r="CY42" s="63"/>
      <c r="CZ42" s="63"/>
      <c r="DA42" s="63"/>
      <c r="DB42" s="63"/>
      <c r="DC42" s="63"/>
      <c r="DD42" s="63"/>
      <c r="DE42" s="64"/>
      <c r="DF42" s="63">
        <f t="shared" si="15"/>
        <v>0</v>
      </c>
      <c r="DG42" s="64"/>
      <c r="DH42" s="64">
        <f t="shared" si="16"/>
        <v>14</v>
      </c>
      <c r="DI42" s="64">
        <f t="shared" si="17"/>
        <v>0</v>
      </c>
      <c r="DJ42" s="63">
        <f t="shared" si="18"/>
        <v>0</v>
      </c>
      <c r="DK42" s="63">
        <f t="shared" si="19"/>
        <v>14</v>
      </c>
    </row>
    <row r="43" spans="1:115" x14ac:dyDescent="0.35">
      <c r="A43" s="46"/>
      <c r="B43" s="47" t="s">
        <v>66</v>
      </c>
      <c r="C43" s="48">
        <v>6</v>
      </c>
      <c r="D43" s="49">
        <v>641</v>
      </c>
      <c r="E43" s="50">
        <v>100840844</v>
      </c>
      <c r="F43" s="51" t="s">
        <v>84</v>
      </c>
      <c r="G43" s="52">
        <v>0</v>
      </c>
      <c r="H43" s="52"/>
      <c r="I43" s="53"/>
      <c r="J43" s="54"/>
      <c r="K43" s="54"/>
      <c r="L43" s="54"/>
      <c r="M43" s="55"/>
      <c r="N43" s="55"/>
      <c r="O43" s="55"/>
      <c r="P43" s="55"/>
      <c r="Q43" s="54"/>
      <c r="R43" s="54"/>
      <c r="S43" s="54"/>
      <c r="T43" s="54"/>
      <c r="U43" s="54"/>
      <c r="V43" s="56"/>
      <c r="W43" s="56"/>
      <c r="X43" s="55"/>
      <c r="Y43" s="55">
        <f t="shared" si="10"/>
        <v>0</v>
      </c>
      <c r="Z43" s="55"/>
      <c r="AA43" s="54"/>
      <c r="AB43" s="55"/>
      <c r="AC43" s="55"/>
      <c r="AD43" s="55">
        <v>2</v>
      </c>
      <c r="AE43" s="55">
        <v>2</v>
      </c>
      <c r="AF43" s="54">
        <v>1</v>
      </c>
      <c r="AG43" s="55"/>
      <c r="AH43" s="54"/>
      <c r="AI43" s="54"/>
      <c r="AJ43" s="54"/>
      <c r="AK43" s="54"/>
      <c r="AL43" s="54"/>
      <c r="AM43" s="56"/>
      <c r="AN43" s="56"/>
      <c r="AO43" s="55"/>
      <c r="AP43" s="55">
        <f t="shared" si="11"/>
        <v>5</v>
      </c>
      <c r="AQ43" s="56"/>
      <c r="AR43" s="54"/>
      <c r="AS43" s="55"/>
      <c r="AT43" s="54"/>
      <c r="AU43" s="54"/>
      <c r="AV43" s="54"/>
      <c r="AW43" s="54"/>
      <c r="AX43" s="54"/>
      <c r="AY43" s="54">
        <v>2</v>
      </c>
      <c r="AZ43" s="54">
        <v>2</v>
      </c>
      <c r="BA43" s="54"/>
      <c r="BB43" s="54"/>
      <c r="BC43" s="54"/>
      <c r="BD43" s="54"/>
      <c r="BE43" s="56"/>
      <c r="BF43" s="56"/>
      <c r="BG43" s="55">
        <f t="shared" si="12"/>
        <v>4</v>
      </c>
      <c r="BH43" s="55"/>
      <c r="BI43" s="55"/>
      <c r="BJ43" s="54"/>
      <c r="BK43" s="54"/>
      <c r="BL43" s="55"/>
      <c r="BM43" s="54"/>
      <c r="BN43" s="54"/>
      <c r="BO43" s="54"/>
      <c r="BP43" s="54"/>
      <c r="BQ43" s="55"/>
      <c r="BR43" s="54"/>
      <c r="BS43" s="54"/>
      <c r="BT43" s="54"/>
      <c r="BU43" s="54"/>
      <c r="BV43" s="56"/>
      <c r="BW43" s="56"/>
      <c r="BX43" s="55">
        <f t="shared" si="13"/>
        <v>0</v>
      </c>
      <c r="BY43" s="55"/>
      <c r="BZ43" s="54"/>
      <c r="CA43" s="54"/>
      <c r="CB43" s="54"/>
      <c r="CC43" s="54"/>
      <c r="CD43" s="54"/>
      <c r="CE43" s="54"/>
      <c r="CF43" s="54"/>
      <c r="CG43" s="54"/>
      <c r="CH43" s="54"/>
      <c r="CI43" s="55"/>
      <c r="CJ43" s="54"/>
      <c r="CK43" s="54"/>
      <c r="CL43" s="54"/>
      <c r="CM43" s="56"/>
      <c r="CN43" s="56"/>
      <c r="CO43" s="55">
        <f t="shared" si="14"/>
        <v>0</v>
      </c>
      <c r="CP43" s="56"/>
      <c r="CQ43" s="54"/>
      <c r="CR43" s="54"/>
      <c r="CS43" s="55"/>
      <c r="CT43" s="55"/>
      <c r="CU43" s="55"/>
      <c r="CV43" s="54"/>
      <c r="CW43" s="54"/>
      <c r="CX43" s="54"/>
      <c r="CY43" s="54"/>
      <c r="CZ43" s="54"/>
      <c r="DA43" s="54"/>
      <c r="DB43" s="54"/>
      <c r="DC43" s="56"/>
      <c r="DD43" s="56"/>
      <c r="DE43" s="55"/>
      <c r="DF43" s="56">
        <f t="shared" si="15"/>
        <v>0</v>
      </c>
      <c r="DG43" s="55"/>
      <c r="DH43" s="55">
        <f t="shared" si="16"/>
        <v>9</v>
      </c>
      <c r="DI43" s="55">
        <f t="shared" si="17"/>
        <v>0</v>
      </c>
      <c r="DJ43" s="54">
        <f t="shared" si="18"/>
        <v>0</v>
      </c>
      <c r="DK43" s="54">
        <f t="shared" si="19"/>
        <v>9</v>
      </c>
    </row>
    <row r="44" spans="1:115" x14ac:dyDescent="0.35">
      <c r="A44" s="57"/>
      <c r="B44" s="58" t="s">
        <v>66</v>
      </c>
      <c r="C44" s="59">
        <v>6</v>
      </c>
      <c r="D44" s="58">
        <v>376</v>
      </c>
      <c r="E44" s="60">
        <v>100846401</v>
      </c>
      <c r="F44" s="61" t="s">
        <v>85</v>
      </c>
      <c r="G44" s="62">
        <v>0</v>
      </c>
      <c r="H44" s="62"/>
      <c r="I44" s="63"/>
      <c r="J44" s="63"/>
      <c r="K44" s="63"/>
      <c r="L44" s="63"/>
      <c r="M44" s="64"/>
      <c r="N44" s="64"/>
      <c r="O44" s="64"/>
      <c r="P44" s="64"/>
      <c r="Q44" s="63"/>
      <c r="R44" s="63"/>
      <c r="S44" s="63"/>
      <c r="T44" s="63"/>
      <c r="U44" s="63"/>
      <c r="V44" s="63"/>
      <c r="W44" s="63"/>
      <c r="X44" s="64"/>
      <c r="Y44" s="64">
        <f t="shared" si="10"/>
        <v>0</v>
      </c>
      <c r="Z44" s="64"/>
      <c r="AA44" s="63"/>
      <c r="AB44" s="64"/>
      <c r="AC44" s="64"/>
      <c r="AD44" s="64">
        <v>2</v>
      </c>
      <c r="AE44" s="64"/>
      <c r="AF44" s="63">
        <v>2</v>
      </c>
      <c r="AG44" s="64"/>
      <c r="AH44" s="63"/>
      <c r="AI44" s="63"/>
      <c r="AJ44" s="63"/>
      <c r="AK44" s="63"/>
      <c r="AL44" s="63"/>
      <c r="AM44" s="63"/>
      <c r="AN44" s="63"/>
      <c r="AO44" s="64"/>
      <c r="AP44" s="64">
        <f t="shared" si="11"/>
        <v>4</v>
      </c>
      <c r="AQ44" s="63"/>
      <c r="AR44" s="63"/>
      <c r="AS44" s="64"/>
      <c r="AT44" s="63"/>
      <c r="AU44" s="63"/>
      <c r="AV44" s="63"/>
      <c r="AW44" s="63"/>
      <c r="AX44" s="63"/>
      <c r="AY44" s="63"/>
      <c r="AZ44" s="63">
        <v>2</v>
      </c>
      <c r="BA44" s="63"/>
      <c r="BB44" s="63"/>
      <c r="BC44" s="63"/>
      <c r="BD44" s="63"/>
      <c r="BE44" s="63"/>
      <c r="BF44" s="63"/>
      <c r="BG44" s="64">
        <f t="shared" si="12"/>
        <v>2</v>
      </c>
      <c r="BH44" s="64"/>
      <c r="BI44" s="64"/>
      <c r="BJ44" s="63"/>
      <c r="BK44" s="63"/>
      <c r="BL44" s="64"/>
      <c r="BM44" s="63"/>
      <c r="BN44" s="63"/>
      <c r="BO44" s="63"/>
      <c r="BP44" s="63"/>
      <c r="BQ44" s="64"/>
      <c r="BR44" s="63"/>
      <c r="BS44" s="63"/>
      <c r="BT44" s="63"/>
      <c r="BU44" s="63"/>
      <c r="BV44" s="63"/>
      <c r="BW44" s="63"/>
      <c r="BX44" s="64">
        <f t="shared" si="13"/>
        <v>0</v>
      </c>
      <c r="BY44" s="64"/>
      <c r="BZ44" s="63"/>
      <c r="CA44" s="63"/>
      <c r="CB44" s="63"/>
      <c r="CC44" s="63"/>
      <c r="CD44" s="63"/>
      <c r="CE44" s="63"/>
      <c r="CF44" s="63"/>
      <c r="CG44" s="63"/>
      <c r="CH44" s="63"/>
      <c r="CI44" s="64"/>
      <c r="CJ44" s="63"/>
      <c r="CK44" s="63"/>
      <c r="CL44" s="63"/>
      <c r="CM44" s="63"/>
      <c r="CN44" s="63"/>
      <c r="CO44" s="64">
        <f t="shared" si="14"/>
        <v>0</v>
      </c>
      <c r="CP44" s="63"/>
      <c r="CQ44" s="63"/>
      <c r="CR44" s="63"/>
      <c r="CS44" s="64"/>
      <c r="CT44" s="64"/>
      <c r="CU44" s="64"/>
      <c r="CV44" s="63"/>
      <c r="CW44" s="63"/>
      <c r="CX44" s="63"/>
      <c r="CY44" s="63"/>
      <c r="CZ44" s="63"/>
      <c r="DA44" s="63"/>
      <c r="DB44" s="63"/>
      <c r="DC44" s="63"/>
      <c r="DD44" s="63"/>
      <c r="DE44" s="64"/>
      <c r="DF44" s="63">
        <f t="shared" si="15"/>
        <v>0</v>
      </c>
      <c r="DG44" s="64"/>
      <c r="DH44" s="64">
        <f t="shared" si="16"/>
        <v>6</v>
      </c>
      <c r="DI44" s="64">
        <f t="shared" si="17"/>
        <v>0</v>
      </c>
      <c r="DJ44" s="63">
        <f t="shared" si="18"/>
        <v>0</v>
      </c>
      <c r="DK44" s="63">
        <f t="shared" si="19"/>
        <v>6</v>
      </c>
    </row>
    <row r="45" spans="1:115" x14ac:dyDescent="0.35">
      <c r="A45" s="46"/>
      <c r="B45" s="47" t="s">
        <v>66</v>
      </c>
      <c r="C45" s="48">
        <v>5</v>
      </c>
      <c r="D45" s="49">
        <v>617</v>
      </c>
      <c r="E45" s="50">
        <v>100849647</v>
      </c>
      <c r="F45" s="51" t="s">
        <v>73</v>
      </c>
      <c r="G45" s="52">
        <v>2</v>
      </c>
      <c r="H45" s="52"/>
      <c r="I45" s="53"/>
      <c r="J45" s="54"/>
      <c r="K45" s="54"/>
      <c r="L45" s="54"/>
      <c r="M45" s="55"/>
      <c r="N45" s="55"/>
      <c r="O45" s="55"/>
      <c r="P45" s="55"/>
      <c r="Q45" s="54"/>
      <c r="R45" s="54"/>
      <c r="S45" s="54"/>
      <c r="T45" s="54"/>
      <c r="U45" s="54"/>
      <c r="V45" s="56"/>
      <c r="W45" s="56"/>
      <c r="X45" s="55"/>
      <c r="Y45" s="55">
        <f t="shared" si="10"/>
        <v>0</v>
      </c>
      <c r="Z45" s="55"/>
      <c r="AA45" s="54"/>
      <c r="AB45" s="55"/>
      <c r="AC45" s="55"/>
      <c r="AD45" s="55">
        <v>2</v>
      </c>
      <c r="AE45" s="55"/>
      <c r="AF45" s="54">
        <v>2</v>
      </c>
      <c r="AG45" s="55">
        <v>2</v>
      </c>
      <c r="AH45" s="54"/>
      <c r="AI45" s="54"/>
      <c r="AJ45" s="54"/>
      <c r="AK45" s="54"/>
      <c r="AL45" s="54"/>
      <c r="AM45" s="56"/>
      <c r="AN45" s="56"/>
      <c r="AO45" s="55"/>
      <c r="AP45" s="55">
        <f t="shared" si="11"/>
        <v>6</v>
      </c>
      <c r="AQ45" s="56"/>
      <c r="AR45" s="54">
        <v>2</v>
      </c>
      <c r="AS45" s="55"/>
      <c r="AT45" s="54">
        <v>2</v>
      </c>
      <c r="AU45" s="54"/>
      <c r="AV45" s="54"/>
      <c r="AW45" s="54">
        <v>2</v>
      </c>
      <c r="AX45" s="54"/>
      <c r="AY45" s="54">
        <v>2</v>
      </c>
      <c r="AZ45" s="54"/>
      <c r="BA45" s="54">
        <v>2</v>
      </c>
      <c r="BB45" s="54">
        <v>2</v>
      </c>
      <c r="BC45" s="54"/>
      <c r="BD45" s="54"/>
      <c r="BE45" s="56"/>
      <c r="BF45" s="56"/>
      <c r="BG45" s="55">
        <f t="shared" si="12"/>
        <v>12</v>
      </c>
      <c r="BH45" s="55"/>
      <c r="BI45" s="55"/>
      <c r="BJ45" s="54"/>
      <c r="BK45" s="54"/>
      <c r="BL45" s="55"/>
      <c r="BM45" s="54"/>
      <c r="BN45" s="54"/>
      <c r="BO45" s="54"/>
      <c r="BP45" s="54"/>
      <c r="BQ45" s="55"/>
      <c r="BR45" s="54"/>
      <c r="BS45" s="54"/>
      <c r="BT45" s="54"/>
      <c r="BU45" s="54"/>
      <c r="BV45" s="56"/>
      <c r="BW45" s="56"/>
      <c r="BX45" s="55">
        <f t="shared" si="13"/>
        <v>0</v>
      </c>
      <c r="BY45" s="55"/>
      <c r="BZ45" s="54"/>
      <c r="CA45" s="54"/>
      <c r="CB45" s="54"/>
      <c r="CC45" s="54"/>
      <c r="CD45" s="54"/>
      <c r="CE45" s="54"/>
      <c r="CF45" s="54"/>
      <c r="CG45" s="54"/>
      <c r="CH45" s="54"/>
      <c r="CI45" s="55"/>
      <c r="CJ45" s="54"/>
      <c r="CK45" s="54"/>
      <c r="CL45" s="54"/>
      <c r="CM45" s="56"/>
      <c r="CN45" s="56"/>
      <c r="CO45" s="55">
        <f t="shared" si="14"/>
        <v>0</v>
      </c>
      <c r="CP45" s="56"/>
      <c r="CQ45" s="54"/>
      <c r="CR45" s="54"/>
      <c r="CS45" s="55"/>
      <c r="CT45" s="55"/>
      <c r="CU45" s="55"/>
      <c r="CV45" s="54"/>
      <c r="CW45" s="54"/>
      <c r="CX45" s="54"/>
      <c r="CY45" s="54"/>
      <c r="CZ45" s="54"/>
      <c r="DA45" s="54"/>
      <c r="DB45" s="54"/>
      <c r="DC45" s="56"/>
      <c r="DD45" s="56"/>
      <c r="DE45" s="55"/>
      <c r="DF45" s="56">
        <f t="shared" si="15"/>
        <v>0</v>
      </c>
      <c r="DG45" s="55"/>
      <c r="DH45" s="55">
        <f t="shared" si="16"/>
        <v>18</v>
      </c>
      <c r="DI45" s="55">
        <f t="shared" si="17"/>
        <v>0</v>
      </c>
      <c r="DJ45" s="54">
        <f t="shared" si="18"/>
        <v>2</v>
      </c>
      <c r="DK45" s="54">
        <f t="shared" si="19"/>
        <v>16</v>
      </c>
    </row>
    <row r="46" spans="1:115" x14ac:dyDescent="0.35">
      <c r="A46" s="57"/>
      <c r="B46" s="58" t="s">
        <v>66</v>
      </c>
      <c r="C46" s="59">
        <v>6</v>
      </c>
      <c r="D46" s="58">
        <v>265</v>
      </c>
      <c r="E46" s="60">
        <v>100847622</v>
      </c>
      <c r="F46" s="61" t="s">
        <v>86</v>
      </c>
      <c r="G46" s="62">
        <v>0</v>
      </c>
      <c r="H46" s="62"/>
      <c r="I46" s="63"/>
      <c r="J46" s="63"/>
      <c r="K46" s="63"/>
      <c r="L46" s="63"/>
      <c r="M46" s="64"/>
      <c r="N46" s="64"/>
      <c r="O46" s="64"/>
      <c r="P46" s="64"/>
      <c r="Q46" s="63"/>
      <c r="R46" s="63"/>
      <c r="S46" s="63"/>
      <c r="T46" s="63"/>
      <c r="U46" s="63"/>
      <c r="V46" s="63"/>
      <c r="W46" s="63"/>
      <c r="X46" s="64"/>
      <c r="Y46" s="64">
        <f t="shared" si="10"/>
        <v>0</v>
      </c>
      <c r="Z46" s="64"/>
      <c r="AA46" s="63">
        <v>2</v>
      </c>
      <c r="AB46" s="64">
        <v>2</v>
      </c>
      <c r="AC46" s="64"/>
      <c r="AD46" s="64">
        <v>2</v>
      </c>
      <c r="AE46" s="64"/>
      <c r="AF46" s="63">
        <v>2</v>
      </c>
      <c r="AG46" s="64"/>
      <c r="AH46" s="63"/>
      <c r="AI46" s="63"/>
      <c r="AJ46" s="63"/>
      <c r="AK46" s="63"/>
      <c r="AL46" s="63"/>
      <c r="AM46" s="63"/>
      <c r="AN46" s="63"/>
      <c r="AO46" s="64"/>
      <c r="AP46" s="64">
        <f t="shared" si="11"/>
        <v>8</v>
      </c>
      <c r="AQ46" s="63"/>
      <c r="AR46" s="63">
        <v>2</v>
      </c>
      <c r="AS46" s="64">
        <v>2</v>
      </c>
      <c r="AT46" s="63">
        <v>2</v>
      </c>
      <c r="AU46" s="63"/>
      <c r="AV46" s="63"/>
      <c r="AW46" s="63"/>
      <c r="AX46" s="63">
        <v>2</v>
      </c>
      <c r="AY46" s="63"/>
      <c r="AZ46" s="63">
        <v>2</v>
      </c>
      <c r="BA46" s="63"/>
      <c r="BB46" s="63"/>
      <c r="BC46" s="63"/>
      <c r="BD46" s="63"/>
      <c r="BE46" s="63"/>
      <c r="BF46" s="63"/>
      <c r="BG46" s="64">
        <f t="shared" si="12"/>
        <v>10</v>
      </c>
      <c r="BH46" s="64"/>
      <c r="BI46" s="64"/>
      <c r="BJ46" s="63"/>
      <c r="BK46" s="63"/>
      <c r="BL46" s="64"/>
      <c r="BM46" s="63"/>
      <c r="BN46" s="63"/>
      <c r="BO46" s="63"/>
      <c r="BP46" s="63"/>
      <c r="BQ46" s="64"/>
      <c r="BR46" s="63"/>
      <c r="BS46" s="63"/>
      <c r="BT46" s="63"/>
      <c r="BU46" s="63"/>
      <c r="BV46" s="63"/>
      <c r="BW46" s="63"/>
      <c r="BX46" s="64">
        <f t="shared" si="13"/>
        <v>0</v>
      </c>
      <c r="BY46" s="64"/>
      <c r="BZ46" s="63"/>
      <c r="CA46" s="63"/>
      <c r="CB46" s="63"/>
      <c r="CC46" s="63"/>
      <c r="CD46" s="63"/>
      <c r="CE46" s="63"/>
      <c r="CF46" s="63"/>
      <c r="CG46" s="63"/>
      <c r="CH46" s="63"/>
      <c r="CI46" s="64"/>
      <c r="CJ46" s="63"/>
      <c r="CK46" s="63"/>
      <c r="CL46" s="63"/>
      <c r="CM46" s="63"/>
      <c r="CN46" s="63"/>
      <c r="CO46" s="64">
        <f t="shared" si="14"/>
        <v>0</v>
      </c>
      <c r="CP46" s="63"/>
      <c r="CQ46" s="63"/>
      <c r="CR46" s="63"/>
      <c r="CS46" s="64"/>
      <c r="CT46" s="64"/>
      <c r="CU46" s="64"/>
      <c r="CV46" s="63"/>
      <c r="CW46" s="63"/>
      <c r="CX46" s="63"/>
      <c r="CY46" s="63"/>
      <c r="CZ46" s="63"/>
      <c r="DA46" s="63"/>
      <c r="DB46" s="63"/>
      <c r="DC46" s="63"/>
      <c r="DD46" s="63"/>
      <c r="DE46" s="64"/>
      <c r="DF46" s="63">
        <f t="shared" si="15"/>
        <v>0</v>
      </c>
      <c r="DG46" s="64"/>
      <c r="DH46" s="64">
        <f t="shared" si="16"/>
        <v>18</v>
      </c>
      <c r="DI46" s="64">
        <f t="shared" si="17"/>
        <v>0</v>
      </c>
      <c r="DJ46" s="63">
        <f t="shared" si="18"/>
        <v>0</v>
      </c>
      <c r="DK46" s="63">
        <f t="shared" si="19"/>
        <v>18</v>
      </c>
    </row>
    <row r="47" spans="1:115" x14ac:dyDescent="0.35">
      <c r="A47" s="46"/>
      <c r="B47" s="47" t="s">
        <v>45</v>
      </c>
      <c r="C47" s="48">
        <v>6</v>
      </c>
      <c r="D47" s="49">
        <v>186</v>
      </c>
      <c r="E47" s="50">
        <v>100848595</v>
      </c>
      <c r="F47" s="51" t="s">
        <v>51</v>
      </c>
      <c r="G47" s="52">
        <v>0</v>
      </c>
      <c r="H47" s="52"/>
      <c r="I47" s="53"/>
      <c r="J47" s="54"/>
      <c r="K47" s="54"/>
      <c r="L47" s="54"/>
      <c r="M47" s="55"/>
      <c r="N47" s="55"/>
      <c r="O47" s="55"/>
      <c r="P47" s="55"/>
      <c r="Q47" s="54"/>
      <c r="R47" s="54"/>
      <c r="S47" s="54"/>
      <c r="T47" s="54"/>
      <c r="U47" s="54"/>
      <c r="V47" s="56"/>
      <c r="W47" s="56"/>
      <c r="X47" s="55"/>
      <c r="Y47" s="55">
        <f t="shared" si="10"/>
        <v>0</v>
      </c>
      <c r="Z47" s="55"/>
      <c r="AA47" s="54"/>
      <c r="AB47" s="55">
        <v>2</v>
      </c>
      <c r="AC47" s="55">
        <v>2</v>
      </c>
      <c r="AD47" s="55">
        <v>2</v>
      </c>
      <c r="AE47" s="55"/>
      <c r="AF47" s="54"/>
      <c r="AG47" s="55"/>
      <c r="AH47" s="54">
        <v>2</v>
      </c>
      <c r="AI47" s="54"/>
      <c r="AJ47" s="54"/>
      <c r="AK47" s="54"/>
      <c r="AL47" s="54"/>
      <c r="AM47" s="56"/>
      <c r="AN47" s="56"/>
      <c r="AO47" s="55"/>
      <c r="AP47" s="55">
        <f t="shared" si="11"/>
        <v>8</v>
      </c>
      <c r="AQ47" s="56"/>
      <c r="AR47" s="54"/>
      <c r="AS47" s="55"/>
      <c r="AT47" s="54">
        <v>2</v>
      </c>
      <c r="AU47" s="54"/>
      <c r="AV47" s="54"/>
      <c r="AW47" s="54">
        <v>2</v>
      </c>
      <c r="AX47" s="54">
        <v>2</v>
      </c>
      <c r="AY47" s="54"/>
      <c r="AZ47" s="54">
        <v>2</v>
      </c>
      <c r="BA47" s="54"/>
      <c r="BB47" s="54"/>
      <c r="BC47" s="54"/>
      <c r="BD47" s="54"/>
      <c r="BE47" s="56"/>
      <c r="BF47" s="56"/>
      <c r="BG47" s="55">
        <f t="shared" si="12"/>
        <v>8</v>
      </c>
      <c r="BH47" s="55"/>
      <c r="BI47" s="55"/>
      <c r="BJ47" s="54"/>
      <c r="BK47" s="54"/>
      <c r="BL47" s="55"/>
      <c r="BM47" s="54"/>
      <c r="BN47" s="54"/>
      <c r="BO47" s="54"/>
      <c r="BP47" s="54"/>
      <c r="BQ47" s="55"/>
      <c r="BR47" s="54"/>
      <c r="BS47" s="54"/>
      <c r="BT47" s="54"/>
      <c r="BU47" s="54"/>
      <c r="BV47" s="56"/>
      <c r="BW47" s="56"/>
      <c r="BX47" s="55">
        <f t="shared" si="13"/>
        <v>0</v>
      </c>
      <c r="BY47" s="55"/>
      <c r="BZ47" s="54"/>
      <c r="CA47" s="54"/>
      <c r="CB47" s="54"/>
      <c r="CC47" s="54"/>
      <c r="CD47" s="54"/>
      <c r="CE47" s="54"/>
      <c r="CF47" s="54"/>
      <c r="CG47" s="54"/>
      <c r="CH47" s="54"/>
      <c r="CI47" s="55"/>
      <c r="CJ47" s="54"/>
      <c r="CK47" s="54"/>
      <c r="CL47" s="54"/>
      <c r="CM47" s="56"/>
      <c r="CN47" s="56"/>
      <c r="CO47" s="55">
        <f t="shared" si="14"/>
        <v>0</v>
      </c>
      <c r="CP47" s="56"/>
      <c r="CQ47" s="54"/>
      <c r="CR47" s="54"/>
      <c r="CS47" s="55"/>
      <c r="CT47" s="55"/>
      <c r="CU47" s="55"/>
      <c r="CV47" s="54"/>
      <c r="CW47" s="54"/>
      <c r="CX47" s="54"/>
      <c r="CY47" s="54"/>
      <c r="CZ47" s="54"/>
      <c r="DA47" s="54"/>
      <c r="DB47" s="54"/>
      <c r="DC47" s="56"/>
      <c r="DD47" s="56"/>
      <c r="DE47" s="55"/>
      <c r="DF47" s="56">
        <f t="shared" si="15"/>
        <v>0</v>
      </c>
      <c r="DG47" s="55"/>
      <c r="DH47" s="55">
        <f t="shared" si="16"/>
        <v>16</v>
      </c>
      <c r="DI47" s="55">
        <f t="shared" si="17"/>
        <v>0</v>
      </c>
      <c r="DJ47" s="54">
        <f t="shared" si="18"/>
        <v>0</v>
      </c>
      <c r="DK47" s="54">
        <f t="shared" si="19"/>
        <v>16</v>
      </c>
    </row>
    <row r="48" spans="1:115" x14ac:dyDescent="0.35">
      <c r="A48" s="57"/>
      <c r="B48" s="58" t="s">
        <v>66</v>
      </c>
      <c r="C48" s="59">
        <v>5</v>
      </c>
      <c r="D48" s="58">
        <v>492</v>
      </c>
      <c r="E48" s="60">
        <v>100840977</v>
      </c>
      <c r="F48" s="61" t="s">
        <v>74</v>
      </c>
      <c r="G48" s="62">
        <v>0</v>
      </c>
      <c r="H48" s="62"/>
      <c r="I48" s="63"/>
      <c r="J48" s="63"/>
      <c r="K48" s="63"/>
      <c r="L48" s="63"/>
      <c r="M48" s="64"/>
      <c r="N48" s="64"/>
      <c r="O48" s="64"/>
      <c r="P48" s="64"/>
      <c r="Q48" s="63"/>
      <c r="R48" s="63"/>
      <c r="S48" s="63"/>
      <c r="T48" s="63"/>
      <c r="U48" s="63"/>
      <c r="V48" s="63"/>
      <c r="W48" s="63"/>
      <c r="X48" s="64"/>
      <c r="Y48" s="64">
        <f t="shared" si="10"/>
        <v>0</v>
      </c>
      <c r="Z48" s="64"/>
      <c r="AA48" s="63"/>
      <c r="AB48" s="64"/>
      <c r="AC48" s="64"/>
      <c r="AD48" s="64">
        <v>2</v>
      </c>
      <c r="AE48" s="64"/>
      <c r="AF48" s="63"/>
      <c r="AG48" s="64"/>
      <c r="AH48" s="63"/>
      <c r="AI48" s="63"/>
      <c r="AJ48" s="63"/>
      <c r="AK48" s="63"/>
      <c r="AL48" s="63"/>
      <c r="AM48" s="63"/>
      <c r="AN48" s="63"/>
      <c r="AO48" s="64"/>
      <c r="AP48" s="64">
        <f t="shared" si="11"/>
        <v>2</v>
      </c>
      <c r="AQ48" s="63"/>
      <c r="AR48" s="63">
        <v>2</v>
      </c>
      <c r="AS48" s="64"/>
      <c r="AT48" s="63"/>
      <c r="AU48" s="63"/>
      <c r="AV48" s="63"/>
      <c r="AW48" s="63"/>
      <c r="AX48" s="63"/>
      <c r="AY48" s="63"/>
      <c r="AZ48" s="63">
        <v>2</v>
      </c>
      <c r="BA48" s="63">
        <v>2</v>
      </c>
      <c r="BB48" s="63"/>
      <c r="BC48" s="63"/>
      <c r="BD48" s="63"/>
      <c r="BE48" s="63"/>
      <c r="BF48" s="63"/>
      <c r="BG48" s="64">
        <f t="shared" si="12"/>
        <v>6</v>
      </c>
      <c r="BH48" s="64"/>
      <c r="BI48" s="64"/>
      <c r="BJ48" s="63"/>
      <c r="BK48" s="63"/>
      <c r="BL48" s="64"/>
      <c r="BM48" s="63"/>
      <c r="BN48" s="63"/>
      <c r="BO48" s="63"/>
      <c r="BP48" s="63"/>
      <c r="BQ48" s="64"/>
      <c r="BR48" s="63"/>
      <c r="BS48" s="63"/>
      <c r="BT48" s="63"/>
      <c r="BU48" s="63"/>
      <c r="BV48" s="63"/>
      <c r="BW48" s="63"/>
      <c r="BX48" s="64">
        <f t="shared" si="13"/>
        <v>0</v>
      </c>
      <c r="BY48" s="64"/>
      <c r="BZ48" s="63"/>
      <c r="CA48" s="63"/>
      <c r="CB48" s="63"/>
      <c r="CC48" s="63"/>
      <c r="CD48" s="63"/>
      <c r="CE48" s="63"/>
      <c r="CF48" s="63"/>
      <c r="CG48" s="63"/>
      <c r="CH48" s="63"/>
      <c r="CI48" s="64"/>
      <c r="CJ48" s="63"/>
      <c r="CK48" s="63"/>
      <c r="CL48" s="63"/>
      <c r="CM48" s="63"/>
      <c r="CN48" s="63"/>
      <c r="CO48" s="64">
        <f t="shared" si="14"/>
        <v>0</v>
      </c>
      <c r="CP48" s="63"/>
      <c r="CQ48" s="63"/>
      <c r="CR48" s="63"/>
      <c r="CS48" s="64"/>
      <c r="CT48" s="64"/>
      <c r="CU48" s="64"/>
      <c r="CV48" s="63"/>
      <c r="CW48" s="63"/>
      <c r="CX48" s="63"/>
      <c r="CY48" s="63"/>
      <c r="CZ48" s="63"/>
      <c r="DA48" s="63"/>
      <c r="DB48" s="63"/>
      <c r="DC48" s="63"/>
      <c r="DD48" s="63"/>
      <c r="DE48" s="64"/>
      <c r="DF48" s="63">
        <f t="shared" si="15"/>
        <v>0</v>
      </c>
      <c r="DG48" s="64"/>
      <c r="DH48" s="64">
        <f t="shared" si="16"/>
        <v>8</v>
      </c>
      <c r="DI48" s="64">
        <f t="shared" si="17"/>
        <v>0</v>
      </c>
      <c r="DJ48" s="63">
        <f t="shared" si="18"/>
        <v>0</v>
      </c>
      <c r="DK48" s="63">
        <f t="shared" si="19"/>
        <v>8</v>
      </c>
    </row>
    <row r="49" spans="1:115" x14ac:dyDescent="0.35">
      <c r="A49" s="46"/>
      <c r="B49" s="47" t="s">
        <v>66</v>
      </c>
      <c r="C49" s="48">
        <v>6</v>
      </c>
      <c r="D49" s="49">
        <v>456</v>
      </c>
      <c r="E49" s="50">
        <v>100841549</v>
      </c>
      <c r="F49" s="51" t="s">
        <v>87</v>
      </c>
      <c r="G49" s="52">
        <v>0</v>
      </c>
      <c r="H49" s="52"/>
      <c r="I49" s="53"/>
      <c r="J49" s="54"/>
      <c r="K49" s="54"/>
      <c r="L49" s="54"/>
      <c r="M49" s="55"/>
      <c r="N49" s="55"/>
      <c r="O49" s="55"/>
      <c r="P49" s="55"/>
      <c r="Q49" s="54"/>
      <c r="R49" s="54"/>
      <c r="S49" s="54"/>
      <c r="T49" s="54"/>
      <c r="U49" s="54"/>
      <c r="V49" s="56"/>
      <c r="W49" s="56"/>
      <c r="X49" s="55"/>
      <c r="Y49" s="55">
        <f t="shared" si="10"/>
        <v>0</v>
      </c>
      <c r="Z49" s="55"/>
      <c r="AA49" s="54"/>
      <c r="AB49" s="55"/>
      <c r="AC49" s="55"/>
      <c r="AD49" s="55">
        <v>2</v>
      </c>
      <c r="AE49" s="55">
        <v>2</v>
      </c>
      <c r="AF49" s="54"/>
      <c r="AG49" s="55"/>
      <c r="AH49" s="54">
        <v>2</v>
      </c>
      <c r="AI49" s="54"/>
      <c r="AJ49" s="54"/>
      <c r="AK49" s="54"/>
      <c r="AL49" s="54"/>
      <c r="AM49" s="56"/>
      <c r="AN49" s="56"/>
      <c r="AO49" s="55"/>
      <c r="AP49" s="55">
        <f t="shared" si="11"/>
        <v>6</v>
      </c>
      <c r="AQ49" s="56"/>
      <c r="AR49" s="54"/>
      <c r="AS49" s="55"/>
      <c r="AT49" s="54"/>
      <c r="AU49" s="54"/>
      <c r="AV49" s="54"/>
      <c r="AW49" s="54"/>
      <c r="AX49" s="54"/>
      <c r="AY49" s="54"/>
      <c r="AZ49" s="54">
        <v>2</v>
      </c>
      <c r="BA49" s="54">
        <v>2</v>
      </c>
      <c r="BB49" s="54"/>
      <c r="BC49" s="54"/>
      <c r="BD49" s="54"/>
      <c r="BE49" s="56"/>
      <c r="BF49" s="56"/>
      <c r="BG49" s="55">
        <f t="shared" si="12"/>
        <v>4</v>
      </c>
      <c r="BH49" s="55"/>
      <c r="BI49" s="55"/>
      <c r="BJ49" s="54"/>
      <c r="BK49" s="54"/>
      <c r="BL49" s="55"/>
      <c r="BM49" s="54"/>
      <c r="BN49" s="54"/>
      <c r="BO49" s="54"/>
      <c r="BP49" s="54"/>
      <c r="BQ49" s="55"/>
      <c r="BR49" s="54"/>
      <c r="BS49" s="54"/>
      <c r="BT49" s="54"/>
      <c r="BU49" s="54"/>
      <c r="BV49" s="56"/>
      <c r="BW49" s="56"/>
      <c r="BX49" s="55">
        <f t="shared" si="13"/>
        <v>0</v>
      </c>
      <c r="BY49" s="55"/>
      <c r="BZ49" s="54"/>
      <c r="CA49" s="54"/>
      <c r="CB49" s="54"/>
      <c r="CC49" s="54"/>
      <c r="CD49" s="54"/>
      <c r="CE49" s="54"/>
      <c r="CF49" s="54"/>
      <c r="CG49" s="54"/>
      <c r="CH49" s="54"/>
      <c r="CI49" s="55"/>
      <c r="CJ49" s="54"/>
      <c r="CK49" s="54"/>
      <c r="CL49" s="54"/>
      <c r="CM49" s="56"/>
      <c r="CN49" s="56"/>
      <c r="CO49" s="55">
        <f t="shared" si="14"/>
        <v>0</v>
      </c>
      <c r="CP49" s="56"/>
      <c r="CQ49" s="54"/>
      <c r="CR49" s="54"/>
      <c r="CS49" s="55"/>
      <c r="CT49" s="55"/>
      <c r="CU49" s="55"/>
      <c r="CV49" s="54"/>
      <c r="CW49" s="54"/>
      <c r="CX49" s="54"/>
      <c r="CY49" s="54"/>
      <c r="CZ49" s="54"/>
      <c r="DA49" s="54"/>
      <c r="DB49" s="54"/>
      <c r="DC49" s="56"/>
      <c r="DD49" s="56"/>
      <c r="DE49" s="55"/>
      <c r="DF49" s="56">
        <f t="shared" si="15"/>
        <v>0</v>
      </c>
      <c r="DG49" s="55"/>
      <c r="DH49" s="55">
        <f t="shared" si="16"/>
        <v>10</v>
      </c>
      <c r="DI49" s="55">
        <f t="shared" si="17"/>
        <v>0</v>
      </c>
      <c r="DJ49" s="54">
        <f t="shared" si="18"/>
        <v>0</v>
      </c>
      <c r="DK49" s="54">
        <f t="shared" si="19"/>
        <v>10</v>
      </c>
    </row>
    <row r="50" spans="1:115" x14ac:dyDescent="0.35">
      <c r="A50" s="57"/>
      <c r="B50" s="58" t="s">
        <v>69</v>
      </c>
      <c r="C50" s="59">
        <v>5</v>
      </c>
      <c r="D50" s="58">
        <v>496</v>
      </c>
      <c r="E50" s="60">
        <v>100840142</v>
      </c>
      <c r="F50" s="61" t="s">
        <v>70</v>
      </c>
      <c r="G50" s="62">
        <v>0</v>
      </c>
      <c r="H50" s="62"/>
      <c r="I50" s="63"/>
      <c r="J50" s="63"/>
      <c r="K50" s="63"/>
      <c r="L50" s="63"/>
      <c r="M50" s="64"/>
      <c r="N50" s="64"/>
      <c r="O50" s="64"/>
      <c r="P50" s="64"/>
      <c r="Q50" s="63"/>
      <c r="R50" s="63"/>
      <c r="S50" s="63"/>
      <c r="T50" s="63"/>
      <c r="U50" s="63"/>
      <c r="V50" s="63"/>
      <c r="W50" s="63"/>
      <c r="X50" s="64"/>
      <c r="Y50" s="64">
        <f t="shared" si="10"/>
        <v>0</v>
      </c>
      <c r="Z50" s="64"/>
      <c r="AA50" s="63"/>
      <c r="AB50" s="64"/>
      <c r="AC50" s="64"/>
      <c r="AD50" s="64">
        <v>2</v>
      </c>
      <c r="AE50" s="64"/>
      <c r="AF50" s="63">
        <v>2</v>
      </c>
      <c r="AG50" s="64"/>
      <c r="AH50" s="63"/>
      <c r="AI50" s="63"/>
      <c r="AJ50" s="63"/>
      <c r="AK50" s="63"/>
      <c r="AL50" s="63"/>
      <c r="AM50" s="63"/>
      <c r="AN50" s="63"/>
      <c r="AO50" s="64"/>
      <c r="AP50" s="64">
        <f t="shared" si="11"/>
        <v>4</v>
      </c>
      <c r="AQ50" s="63"/>
      <c r="AR50" s="63"/>
      <c r="AS50" s="64"/>
      <c r="AT50" s="63">
        <v>2</v>
      </c>
      <c r="AU50" s="63"/>
      <c r="AV50" s="63"/>
      <c r="AW50" s="63"/>
      <c r="AX50" s="63"/>
      <c r="AY50" s="63">
        <v>2</v>
      </c>
      <c r="AZ50" s="63">
        <v>2</v>
      </c>
      <c r="BA50" s="63"/>
      <c r="BB50" s="63"/>
      <c r="BC50" s="63"/>
      <c r="BD50" s="63"/>
      <c r="BE50" s="63"/>
      <c r="BF50" s="63"/>
      <c r="BG50" s="64">
        <f t="shared" si="12"/>
        <v>6</v>
      </c>
      <c r="BH50" s="64"/>
      <c r="BI50" s="64"/>
      <c r="BJ50" s="63"/>
      <c r="BK50" s="63"/>
      <c r="BL50" s="64"/>
      <c r="BM50" s="63"/>
      <c r="BN50" s="63"/>
      <c r="BO50" s="63"/>
      <c r="BP50" s="63"/>
      <c r="BQ50" s="64"/>
      <c r="BR50" s="63"/>
      <c r="BS50" s="63"/>
      <c r="BT50" s="63"/>
      <c r="BU50" s="63"/>
      <c r="BV50" s="63"/>
      <c r="BW50" s="63"/>
      <c r="BX50" s="64">
        <f t="shared" si="13"/>
        <v>0</v>
      </c>
      <c r="BY50" s="64"/>
      <c r="BZ50" s="63"/>
      <c r="CA50" s="63"/>
      <c r="CB50" s="63"/>
      <c r="CC50" s="63"/>
      <c r="CD50" s="63"/>
      <c r="CE50" s="63"/>
      <c r="CF50" s="63"/>
      <c r="CG50" s="63"/>
      <c r="CH50" s="63"/>
      <c r="CI50" s="64"/>
      <c r="CJ50" s="63"/>
      <c r="CK50" s="63"/>
      <c r="CL50" s="63"/>
      <c r="CM50" s="63"/>
      <c r="CN50" s="63"/>
      <c r="CO50" s="64">
        <f t="shared" si="14"/>
        <v>0</v>
      </c>
      <c r="CP50" s="63"/>
      <c r="CQ50" s="63"/>
      <c r="CR50" s="63"/>
      <c r="CS50" s="64"/>
      <c r="CT50" s="64"/>
      <c r="CU50" s="64"/>
      <c r="CV50" s="63"/>
      <c r="CW50" s="63"/>
      <c r="CX50" s="63"/>
      <c r="CY50" s="63"/>
      <c r="CZ50" s="63"/>
      <c r="DA50" s="63"/>
      <c r="DB50" s="63"/>
      <c r="DC50" s="63"/>
      <c r="DD50" s="63"/>
      <c r="DE50" s="64"/>
      <c r="DF50" s="63">
        <f t="shared" si="15"/>
        <v>0</v>
      </c>
      <c r="DG50" s="64"/>
      <c r="DH50" s="64">
        <f t="shared" si="16"/>
        <v>10</v>
      </c>
      <c r="DI50" s="64">
        <f t="shared" si="17"/>
        <v>0</v>
      </c>
      <c r="DJ50" s="63">
        <f t="shared" si="18"/>
        <v>0</v>
      </c>
      <c r="DK50" s="63">
        <f t="shared" si="19"/>
        <v>10</v>
      </c>
    </row>
    <row r="51" spans="1:115" x14ac:dyDescent="0.35">
      <c r="A51" s="46"/>
      <c r="B51" s="47" t="s">
        <v>66</v>
      </c>
      <c r="C51" s="48">
        <v>5</v>
      </c>
      <c r="D51" s="49">
        <v>368</v>
      </c>
      <c r="E51" s="50">
        <v>100846013</v>
      </c>
      <c r="F51" s="51" t="s">
        <v>75</v>
      </c>
      <c r="G51" s="52">
        <v>0</v>
      </c>
      <c r="H51" s="52"/>
      <c r="I51" s="53"/>
      <c r="J51" s="54"/>
      <c r="K51" s="54"/>
      <c r="L51" s="54"/>
      <c r="M51" s="55"/>
      <c r="N51" s="55"/>
      <c r="O51" s="55"/>
      <c r="P51" s="55"/>
      <c r="Q51" s="54"/>
      <c r="R51" s="54"/>
      <c r="S51" s="54"/>
      <c r="T51" s="54"/>
      <c r="U51" s="54"/>
      <c r="V51" s="56"/>
      <c r="W51" s="56"/>
      <c r="X51" s="55"/>
      <c r="Y51" s="55">
        <f t="shared" si="10"/>
        <v>0</v>
      </c>
      <c r="Z51" s="55"/>
      <c r="AA51" s="54"/>
      <c r="AB51" s="55"/>
      <c r="AC51" s="55"/>
      <c r="AD51" s="55">
        <v>2</v>
      </c>
      <c r="AE51" s="55"/>
      <c r="AF51" s="54">
        <v>2</v>
      </c>
      <c r="AG51" s="55"/>
      <c r="AH51" s="54"/>
      <c r="AI51" s="54"/>
      <c r="AJ51" s="54"/>
      <c r="AK51" s="54"/>
      <c r="AL51" s="54"/>
      <c r="AM51" s="56"/>
      <c r="AN51" s="56"/>
      <c r="AO51" s="55"/>
      <c r="AP51" s="55">
        <f t="shared" si="11"/>
        <v>4</v>
      </c>
      <c r="AQ51" s="56"/>
      <c r="AR51" s="54"/>
      <c r="AS51" s="55"/>
      <c r="AT51" s="54">
        <v>2</v>
      </c>
      <c r="AU51" s="54"/>
      <c r="AV51" s="54"/>
      <c r="AW51" s="54"/>
      <c r="AX51" s="54"/>
      <c r="AY51" s="54">
        <v>2</v>
      </c>
      <c r="AZ51" s="54">
        <v>2</v>
      </c>
      <c r="BA51" s="54"/>
      <c r="BB51" s="54"/>
      <c r="BC51" s="54"/>
      <c r="BD51" s="54"/>
      <c r="BE51" s="56"/>
      <c r="BF51" s="56"/>
      <c r="BG51" s="55">
        <f t="shared" si="12"/>
        <v>6</v>
      </c>
      <c r="BH51" s="55"/>
      <c r="BI51" s="55"/>
      <c r="BJ51" s="54"/>
      <c r="BK51" s="54"/>
      <c r="BL51" s="55"/>
      <c r="BM51" s="54"/>
      <c r="BN51" s="54"/>
      <c r="BO51" s="54"/>
      <c r="BP51" s="54"/>
      <c r="BQ51" s="55"/>
      <c r="BR51" s="54"/>
      <c r="BS51" s="54"/>
      <c r="BT51" s="54"/>
      <c r="BU51" s="54"/>
      <c r="BV51" s="56"/>
      <c r="BW51" s="56"/>
      <c r="BX51" s="55">
        <f t="shared" si="13"/>
        <v>0</v>
      </c>
      <c r="BY51" s="55"/>
      <c r="BZ51" s="54"/>
      <c r="CA51" s="54"/>
      <c r="CB51" s="54"/>
      <c r="CC51" s="54"/>
      <c r="CD51" s="54"/>
      <c r="CE51" s="54"/>
      <c r="CF51" s="54"/>
      <c r="CG51" s="54"/>
      <c r="CH51" s="54"/>
      <c r="CI51" s="55"/>
      <c r="CJ51" s="54"/>
      <c r="CK51" s="54"/>
      <c r="CL51" s="54"/>
      <c r="CM51" s="56"/>
      <c r="CN51" s="56"/>
      <c r="CO51" s="55">
        <f t="shared" si="14"/>
        <v>0</v>
      </c>
      <c r="CP51" s="56"/>
      <c r="CQ51" s="54"/>
      <c r="CR51" s="54"/>
      <c r="CS51" s="55"/>
      <c r="CT51" s="55"/>
      <c r="CU51" s="55"/>
      <c r="CV51" s="54"/>
      <c r="CW51" s="54"/>
      <c r="CX51" s="54"/>
      <c r="CY51" s="54"/>
      <c r="CZ51" s="54"/>
      <c r="DA51" s="54"/>
      <c r="DB51" s="54"/>
      <c r="DC51" s="56"/>
      <c r="DD51" s="56"/>
      <c r="DE51" s="55"/>
      <c r="DF51" s="56">
        <f t="shared" si="15"/>
        <v>0</v>
      </c>
      <c r="DG51" s="55"/>
      <c r="DH51" s="55">
        <f t="shared" si="16"/>
        <v>10</v>
      </c>
      <c r="DI51" s="55">
        <f t="shared" si="17"/>
        <v>0</v>
      </c>
      <c r="DJ51" s="54">
        <f t="shared" si="18"/>
        <v>0</v>
      </c>
      <c r="DK51" s="54">
        <f t="shared" si="19"/>
        <v>10</v>
      </c>
    </row>
    <row r="52" spans="1:115" x14ac:dyDescent="0.35">
      <c r="A52" s="57"/>
      <c r="B52" s="58" t="s">
        <v>45</v>
      </c>
      <c r="C52" s="59">
        <v>6</v>
      </c>
      <c r="D52" s="58">
        <v>146</v>
      </c>
      <c r="E52" s="60">
        <v>100846019</v>
      </c>
      <c r="F52" s="61" t="s">
        <v>52</v>
      </c>
      <c r="G52" s="62">
        <v>0</v>
      </c>
      <c r="H52" s="62"/>
      <c r="I52" s="63"/>
      <c r="J52" s="63"/>
      <c r="K52" s="63"/>
      <c r="L52" s="63"/>
      <c r="M52" s="64"/>
      <c r="N52" s="64"/>
      <c r="O52" s="64"/>
      <c r="P52" s="64"/>
      <c r="Q52" s="63"/>
      <c r="R52" s="63"/>
      <c r="S52" s="63"/>
      <c r="T52" s="63"/>
      <c r="U52" s="63"/>
      <c r="V52" s="63"/>
      <c r="W52" s="63"/>
      <c r="X52" s="64"/>
      <c r="Y52" s="64">
        <f t="shared" si="10"/>
        <v>0</v>
      </c>
      <c r="Z52" s="64"/>
      <c r="AA52" s="63">
        <v>2</v>
      </c>
      <c r="AB52" s="64"/>
      <c r="AC52" s="64">
        <v>2</v>
      </c>
      <c r="AD52" s="64">
        <v>2</v>
      </c>
      <c r="AE52" s="64"/>
      <c r="AF52" s="63"/>
      <c r="AG52" s="64">
        <v>2</v>
      </c>
      <c r="AH52" s="63"/>
      <c r="AI52" s="63"/>
      <c r="AJ52" s="63"/>
      <c r="AK52" s="63"/>
      <c r="AL52" s="63"/>
      <c r="AM52" s="63"/>
      <c r="AN52" s="63"/>
      <c r="AO52" s="64"/>
      <c r="AP52" s="64">
        <f t="shared" si="11"/>
        <v>8</v>
      </c>
      <c r="AQ52" s="63"/>
      <c r="AR52" s="63">
        <v>2</v>
      </c>
      <c r="AS52" s="64"/>
      <c r="AT52" s="63">
        <v>2</v>
      </c>
      <c r="AU52" s="63">
        <v>2</v>
      </c>
      <c r="AV52" s="63"/>
      <c r="AW52" s="63">
        <v>2</v>
      </c>
      <c r="AX52" s="63"/>
      <c r="AY52" s="63"/>
      <c r="AZ52" s="63">
        <v>2</v>
      </c>
      <c r="BA52" s="63">
        <v>2</v>
      </c>
      <c r="BB52" s="63"/>
      <c r="BC52" s="63"/>
      <c r="BD52" s="63"/>
      <c r="BE52" s="63"/>
      <c r="BF52" s="63"/>
      <c r="BG52" s="64">
        <f t="shared" si="12"/>
        <v>12</v>
      </c>
      <c r="BH52" s="64"/>
      <c r="BI52" s="64"/>
      <c r="BJ52" s="63"/>
      <c r="BK52" s="63"/>
      <c r="BL52" s="64"/>
      <c r="BM52" s="63"/>
      <c r="BN52" s="63"/>
      <c r="BO52" s="63"/>
      <c r="BP52" s="63"/>
      <c r="BQ52" s="64"/>
      <c r="BR52" s="63"/>
      <c r="BS52" s="63"/>
      <c r="BT52" s="63"/>
      <c r="BU52" s="63"/>
      <c r="BV52" s="63"/>
      <c r="BW52" s="63"/>
      <c r="BX52" s="64">
        <f t="shared" si="13"/>
        <v>0</v>
      </c>
      <c r="BY52" s="64"/>
      <c r="BZ52" s="63"/>
      <c r="CA52" s="63"/>
      <c r="CB52" s="63"/>
      <c r="CC52" s="63"/>
      <c r="CD52" s="63"/>
      <c r="CE52" s="63"/>
      <c r="CF52" s="63"/>
      <c r="CG52" s="63"/>
      <c r="CH52" s="63"/>
      <c r="CI52" s="64"/>
      <c r="CJ52" s="63"/>
      <c r="CK52" s="63"/>
      <c r="CL52" s="63"/>
      <c r="CM52" s="63"/>
      <c r="CN52" s="63"/>
      <c r="CO52" s="64">
        <f t="shared" si="14"/>
        <v>0</v>
      </c>
      <c r="CP52" s="63"/>
      <c r="CQ52" s="63"/>
      <c r="CR52" s="63"/>
      <c r="CS52" s="64"/>
      <c r="CT52" s="64"/>
      <c r="CU52" s="64"/>
      <c r="CV52" s="63"/>
      <c r="CW52" s="63"/>
      <c r="CX52" s="63"/>
      <c r="CY52" s="63"/>
      <c r="CZ52" s="63"/>
      <c r="DA52" s="63"/>
      <c r="DB52" s="63"/>
      <c r="DC52" s="63"/>
      <c r="DD52" s="63"/>
      <c r="DE52" s="64"/>
      <c r="DF52" s="63">
        <f t="shared" si="15"/>
        <v>0</v>
      </c>
      <c r="DG52" s="64"/>
      <c r="DH52" s="64">
        <f t="shared" si="16"/>
        <v>20</v>
      </c>
      <c r="DI52" s="64">
        <f t="shared" si="17"/>
        <v>0</v>
      </c>
      <c r="DJ52" s="63">
        <f t="shared" si="18"/>
        <v>0</v>
      </c>
      <c r="DK52" s="63">
        <f t="shared" si="19"/>
        <v>20</v>
      </c>
    </row>
    <row r="53" spans="1:115" x14ac:dyDescent="0.35">
      <c r="A53" s="46"/>
      <c r="B53" s="47" t="s">
        <v>69</v>
      </c>
      <c r="C53" s="48">
        <v>5</v>
      </c>
      <c r="D53" s="49">
        <v>518</v>
      </c>
      <c r="E53" s="50">
        <v>100848156</v>
      </c>
      <c r="F53" s="51" t="s">
        <v>71</v>
      </c>
      <c r="G53" s="52">
        <v>0</v>
      </c>
      <c r="H53" s="52"/>
      <c r="I53" s="53"/>
      <c r="J53" s="54"/>
      <c r="K53" s="54"/>
      <c r="L53" s="54"/>
      <c r="M53" s="55"/>
      <c r="N53" s="55"/>
      <c r="O53" s="55"/>
      <c r="P53" s="55"/>
      <c r="Q53" s="54"/>
      <c r="R53" s="54"/>
      <c r="S53" s="54"/>
      <c r="T53" s="54"/>
      <c r="U53" s="54"/>
      <c r="V53" s="56"/>
      <c r="W53" s="56"/>
      <c r="X53" s="55"/>
      <c r="Y53" s="55">
        <f t="shared" si="10"/>
        <v>0</v>
      </c>
      <c r="Z53" s="55"/>
      <c r="AA53" s="54">
        <v>2</v>
      </c>
      <c r="AB53" s="55"/>
      <c r="AC53" s="55"/>
      <c r="AD53" s="55">
        <v>2</v>
      </c>
      <c r="AE53" s="55"/>
      <c r="AF53" s="54"/>
      <c r="AG53" s="55"/>
      <c r="AH53" s="54"/>
      <c r="AI53" s="54"/>
      <c r="AJ53" s="54"/>
      <c r="AK53" s="54"/>
      <c r="AL53" s="54"/>
      <c r="AM53" s="56"/>
      <c r="AN53" s="56"/>
      <c r="AO53" s="55"/>
      <c r="AP53" s="55">
        <f t="shared" si="11"/>
        <v>4</v>
      </c>
      <c r="AQ53" s="56"/>
      <c r="AR53" s="54"/>
      <c r="AS53" s="55">
        <v>2</v>
      </c>
      <c r="AT53" s="54">
        <v>2</v>
      </c>
      <c r="AU53" s="54"/>
      <c r="AV53" s="54"/>
      <c r="AW53" s="54"/>
      <c r="AX53" s="54"/>
      <c r="AY53" s="54"/>
      <c r="AZ53" s="54">
        <v>2</v>
      </c>
      <c r="BA53" s="54"/>
      <c r="BB53" s="54"/>
      <c r="BC53" s="54"/>
      <c r="BD53" s="54"/>
      <c r="BE53" s="56"/>
      <c r="BF53" s="56"/>
      <c r="BG53" s="55">
        <f t="shared" si="12"/>
        <v>6</v>
      </c>
      <c r="BH53" s="55"/>
      <c r="BI53" s="55"/>
      <c r="BJ53" s="54"/>
      <c r="BK53" s="54"/>
      <c r="BL53" s="55"/>
      <c r="BM53" s="54"/>
      <c r="BN53" s="54"/>
      <c r="BO53" s="54"/>
      <c r="BP53" s="54"/>
      <c r="BQ53" s="55"/>
      <c r="BR53" s="54"/>
      <c r="BS53" s="54"/>
      <c r="BT53" s="54"/>
      <c r="BU53" s="54"/>
      <c r="BV53" s="56"/>
      <c r="BW53" s="56"/>
      <c r="BX53" s="55">
        <f t="shared" si="13"/>
        <v>0</v>
      </c>
      <c r="BY53" s="55"/>
      <c r="BZ53" s="54"/>
      <c r="CA53" s="54"/>
      <c r="CB53" s="54"/>
      <c r="CC53" s="54"/>
      <c r="CD53" s="54"/>
      <c r="CE53" s="54"/>
      <c r="CF53" s="54"/>
      <c r="CG53" s="54"/>
      <c r="CH53" s="54"/>
      <c r="CI53" s="55"/>
      <c r="CJ53" s="54"/>
      <c r="CK53" s="54"/>
      <c r="CL53" s="54"/>
      <c r="CM53" s="56"/>
      <c r="CN53" s="56"/>
      <c r="CO53" s="55">
        <f t="shared" si="14"/>
        <v>0</v>
      </c>
      <c r="CP53" s="56"/>
      <c r="CQ53" s="54"/>
      <c r="CR53" s="54"/>
      <c r="CS53" s="55"/>
      <c r="CT53" s="55"/>
      <c r="CU53" s="55"/>
      <c r="CV53" s="54"/>
      <c r="CW53" s="54"/>
      <c r="CX53" s="54"/>
      <c r="CY53" s="54"/>
      <c r="CZ53" s="54"/>
      <c r="DA53" s="54"/>
      <c r="DB53" s="54"/>
      <c r="DC53" s="56"/>
      <c r="DD53" s="56"/>
      <c r="DE53" s="55"/>
      <c r="DF53" s="56">
        <f t="shared" si="15"/>
        <v>0</v>
      </c>
      <c r="DG53" s="55"/>
      <c r="DH53" s="55">
        <f t="shared" si="16"/>
        <v>10</v>
      </c>
      <c r="DI53" s="55">
        <f t="shared" si="17"/>
        <v>0</v>
      </c>
      <c r="DJ53" s="54">
        <f t="shared" si="18"/>
        <v>0</v>
      </c>
      <c r="DK53" s="54">
        <f t="shared" si="19"/>
        <v>10</v>
      </c>
    </row>
    <row r="54" spans="1:115" x14ac:dyDescent="0.35">
      <c r="A54" s="57"/>
      <c r="B54" s="58" t="s">
        <v>69</v>
      </c>
      <c r="C54" s="59">
        <v>6</v>
      </c>
      <c r="D54" s="58">
        <v>214</v>
      </c>
      <c r="E54" s="60">
        <v>100849351</v>
      </c>
      <c r="F54" s="61" t="s">
        <v>77</v>
      </c>
      <c r="G54" s="62">
        <v>2</v>
      </c>
      <c r="H54" s="62"/>
      <c r="I54" s="63"/>
      <c r="J54" s="63"/>
      <c r="K54" s="63"/>
      <c r="L54" s="63"/>
      <c r="M54" s="64"/>
      <c r="N54" s="64"/>
      <c r="O54" s="64"/>
      <c r="P54" s="64"/>
      <c r="Q54" s="63"/>
      <c r="R54" s="63"/>
      <c r="S54" s="63"/>
      <c r="T54" s="63"/>
      <c r="U54" s="63"/>
      <c r="V54" s="63"/>
      <c r="W54" s="63"/>
      <c r="X54" s="64"/>
      <c r="Y54" s="64">
        <f t="shared" si="10"/>
        <v>0</v>
      </c>
      <c r="Z54" s="64"/>
      <c r="AA54" s="63"/>
      <c r="AB54" s="64"/>
      <c r="AC54" s="64"/>
      <c r="AD54" s="64">
        <v>2</v>
      </c>
      <c r="AE54" s="64"/>
      <c r="AF54" s="63"/>
      <c r="AG54" s="64">
        <v>2</v>
      </c>
      <c r="AH54" s="63"/>
      <c r="AI54" s="63"/>
      <c r="AJ54" s="63"/>
      <c r="AK54" s="63"/>
      <c r="AL54" s="63"/>
      <c r="AM54" s="63"/>
      <c r="AN54" s="63"/>
      <c r="AO54" s="64"/>
      <c r="AP54" s="64">
        <f t="shared" si="11"/>
        <v>4</v>
      </c>
      <c r="AQ54" s="63"/>
      <c r="AR54" s="63"/>
      <c r="AS54" s="64"/>
      <c r="AT54" s="63"/>
      <c r="AU54" s="63"/>
      <c r="AV54" s="63"/>
      <c r="AW54" s="63"/>
      <c r="AX54" s="63"/>
      <c r="AY54" s="63">
        <v>2</v>
      </c>
      <c r="AZ54" s="63">
        <v>2</v>
      </c>
      <c r="BA54" s="63"/>
      <c r="BB54" s="63"/>
      <c r="BC54" s="63"/>
      <c r="BD54" s="63"/>
      <c r="BE54" s="63"/>
      <c r="BF54" s="63"/>
      <c r="BG54" s="64">
        <f t="shared" si="12"/>
        <v>4</v>
      </c>
      <c r="BH54" s="64"/>
      <c r="BI54" s="64"/>
      <c r="BJ54" s="63"/>
      <c r="BK54" s="63"/>
      <c r="BL54" s="64"/>
      <c r="BM54" s="63"/>
      <c r="BN54" s="63"/>
      <c r="BO54" s="63"/>
      <c r="BP54" s="63"/>
      <c r="BQ54" s="64"/>
      <c r="BR54" s="63"/>
      <c r="BS54" s="63"/>
      <c r="BT54" s="63"/>
      <c r="BU54" s="63"/>
      <c r="BV54" s="63"/>
      <c r="BW54" s="63"/>
      <c r="BX54" s="64">
        <f t="shared" si="13"/>
        <v>0</v>
      </c>
      <c r="BY54" s="64"/>
      <c r="BZ54" s="63"/>
      <c r="CA54" s="63"/>
      <c r="CB54" s="63"/>
      <c r="CC54" s="63"/>
      <c r="CD54" s="63"/>
      <c r="CE54" s="63"/>
      <c r="CF54" s="63"/>
      <c r="CG54" s="63"/>
      <c r="CH54" s="63"/>
      <c r="CI54" s="64"/>
      <c r="CJ54" s="63"/>
      <c r="CK54" s="63"/>
      <c r="CL54" s="63"/>
      <c r="CM54" s="63"/>
      <c r="CN54" s="63"/>
      <c r="CO54" s="64">
        <f t="shared" si="14"/>
        <v>0</v>
      </c>
      <c r="CP54" s="63"/>
      <c r="CQ54" s="63"/>
      <c r="CR54" s="63"/>
      <c r="CS54" s="64"/>
      <c r="CT54" s="64"/>
      <c r="CU54" s="64"/>
      <c r="CV54" s="63"/>
      <c r="CW54" s="63"/>
      <c r="CX54" s="63"/>
      <c r="CY54" s="63"/>
      <c r="CZ54" s="63"/>
      <c r="DA54" s="63"/>
      <c r="DB54" s="63"/>
      <c r="DC54" s="63"/>
      <c r="DD54" s="63"/>
      <c r="DE54" s="64"/>
      <c r="DF54" s="63">
        <f t="shared" si="15"/>
        <v>0</v>
      </c>
      <c r="DG54" s="64"/>
      <c r="DH54" s="64">
        <f t="shared" si="16"/>
        <v>8</v>
      </c>
      <c r="DI54" s="64">
        <f t="shared" si="17"/>
        <v>0</v>
      </c>
      <c r="DJ54" s="63">
        <f t="shared" si="18"/>
        <v>2</v>
      </c>
      <c r="DK54" s="63">
        <f t="shared" si="19"/>
        <v>6</v>
      </c>
    </row>
    <row r="55" spans="1:115" x14ac:dyDescent="0.35">
      <c r="A55" s="46"/>
      <c r="B55" s="47" t="s">
        <v>66</v>
      </c>
      <c r="C55" s="48">
        <v>6</v>
      </c>
      <c r="D55" s="49">
        <v>418</v>
      </c>
      <c r="E55" s="50">
        <v>100840706</v>
      </c>
      <c r="F55" s="51" t="s">
        <v>88</v>
      </c>
      <c r="G55" s="52">
        <v>2</v>
      </c>
      <c r="H55" s="52"/>
      <c r="I55" s="53"/>
      <c r="J55" s="54"/>
      <c r="K55" s="54"/>
      <c r="L55" s="54"/>
      <c r="M55" s="55"/>
      <c r="N55" s="55"/>
      <c r="O55" s="55"/>
      <c r="P55" s="55"/>
      <c r="Q55" s="54"/>
      <c r="R55" s="54"/>
      <c r="S55" s="54"/>
      <c r="T55" s="54"/>
      <c r="U55" s="54"/>
      <c r="V55" s="56"/>
      <c r="W55" s="56"/>
      <c r="X55" s="55"/>
      <c r="Y55" s="55">
        <f t="shared" si="10"/>
        <v>0</v>
      </c>
      <c r="Z55" s="55"/>
      <c r="AA55" s="54"/>
      <c r="AB55" s="55"/>
      <c r="AC55" s="55"/>
      <c r="AD55" s="55">
        <v>2</v>
      </c>
      <c r="AE55" s="55"/>
      <c r="AF55" s="54"/>
      <c r="AG55" s="55"/>
      <c r="AH55" s="54">
        <v>2</v>
      </c>
      <c r="AI55" s="54"/>
      <c r="AJ55" s="54"/>
      <c r="AK55" s="54"/>
      <c r="AL55" s="54"/>
      <c r="AM55" s="56"/>
      <c r="AN55" s="56"/>
      <c r="AO55" s="55"/>
      <c r="AP55" s="55">
        <f t="shared" si="11"/>
        <v>4</v>
      </c>
      <c r="AQ55" s="56"/>
      <c r="AR55" s="54"/>
      <c r="AS55" s="55"/>
      <c r="AT55" s="54"/>
      <c r="AU55" s="54">
        <v>2</v>
      </c>
      <c r="AV55" s="54"/>
      <c r="AW55" s="54"/>
      <c r="AX55" s="54"/>
      <c r="AY55" s="54">
        <v>2</v>
      </c>
      <c r="AZ55" s="54">
        <v>2</v>
      </c>
      <c r="BA55" s="54">
        <v>2</v>
      </c>
      <c r="BB55" s="54"/>
      <c r="BC55" s="54"/>
      <c r="BD55" s="54"/>
      <c r="BE55" s="56"/>
      <c r="BF55" s="56"/>
      <c r="BG55" s="55">
        <f t="shared" si="12"/>
        <v>8</v>
      </c>
      <c r="BH55" s="55"/>
      <c r="BI55" s="55"/>
      <c r="BJ55" s="54"/>
      <c r="BK55" s="54"/>
      <c r="BL55" s="55"/>
      <c r="BM55" s="54"/>
      <c r="BN55" s="54"/>
      <c r="BO55" s="54"/>
      <c r="BP55" s="54"/>
      <c r="BQ55" s="55"/>
      <c r="BR55" s="54"/>
      <c r="BS55" s="54"/>
      <c r="BT55" s="54"/>
      <c r="BU55" s="54"/>
      <c r="BV55" s="56"/>
      <c r="BW55" s="56"/>
      <c r="BX55" s="55">
        <f t="shared" si="13"/>
        <v>0</v>
      </c>
      <c r="BY55" s="55"/>
      <c r="BZ55" s="54"/>
      <c r="CA55" s="54"/>
      <c r="CB55" s="54"/>
      <c r="CC55" s="54"/>
      <c r="CD55" s="54"/>
      <c r="CE55" s="54"/>
      <c r="CF55" s="54"/>
      <c r="CG55" s="54"/>
      <c r="CH55" s="54"/>
      <c r="CI55" s="55"/>
      <c r="CJ55" s="54"/>
      <c r="CK55" s="54"/>
      <c r="CL55" s="54"/>
      <c r="CM55" s="56"/>
      <c r="CN55" s="56"/>
      <c r="CO55" s="55">
        <f t="shared" si="14"/>
        <v>0</v>
      </c>
      <c r="CP55" s="56"/>
      <c r="CQ55" s="54"/>
      <c r="CR55" s="54"/>
      <c r="CS55" s="55"/>
      <c r="CT55" s="55"/>
      <c r="CU55" s="55"/>
      <c r="CV55" s="54"/>
      <c r="CW55" s="54"/>
      <c r="CX55" s="54"/>
      <c r="CY55" s="54"/>
      <c r="CZ55" s="54"/>
      <c r="DA55" s="54"/>
      <c r="DB55" s="54"/>
      <c r="DC55" s="56"/>
      <c r="DD55" s="56"/>
      <c r="DE55" s="55"/>
      <c r="DF55" s="56">
        <f t="shared" si="15"/>
        <v>0</v>
      </c>
      <c r="DG55" s="55"/>
      <c r="DH55" s="55">
        <f t="shared" si="16"/>
        <v>12</v>
      </c>
      <c r="DI55" s="55">
        <f t="shared" si="17"/>
        <v>0</v>
      </c>
      <c r="DJ55" s="54">
        <f t="shared" si="18"/>
        <v>2</v>
      </c>
      <c r="DK55" s="54">
        <f t="shared" si="19"/>
        <v>10</v>
      </c>
    </row>
  </sheetData>
  <sortState ref="A31:DK57">
    <sortCondition ref="F31:F57"/>
  </sortState>
  <dataConsolidate/>
  <mergeCells count="13">
    <mergeCell ref="G6:G7"/>
    <mergeCell ref="J2:S2"/>
    <mergeCell ref="T2:U2"/>
    <mergeCell ref="J3:S3"/>
    <mergeCell ref="T3:U3"/>
    <mergeCell ref="H6:H7"/>
    <mergeCell ref="J6:Y6"/>
    <mergeCell ref="CQ6:DF6"/>
    <mergeCell ref="DH6:DK6"/>
    <mergeCell ref="AA6:AP6"/>
    <mergeCell ref="AR6:BG6"/>
    <mergeCell ref="BI6:BX6"/>
    <mergeCell ref="BZ6:CO6"/>
  </mergeCells>
  <phoneticPr fontId="0" type="noConversion"/>
  <conditionalFormatting sqref="AR6 BI6 BZ6 AA6 J6 CV7:DE7 CQ6 J1">
    <cfRule type="cellIs" dxfId="513" priority="662" stopIfTrue="1" operator="equal">
      <formula>"a"</formula>
    </cfRule>
  </conditionalFormatting>
  <conditionalFormatting sqref="DD24 DD26 DD28 DD30 DD32 DD34">
    <cfRule type="cellIs" dxfId="512" priority="477" stopIfTrue="1" operator="equal">
      <formula>0</formula>
    </cfRule>
  </conditionalFormatting>
  <conditionalFormatting sqref="CX24 CX26 CX28 CX30 CX32 CX34">
    <cfRule type="cellIs" dxfId="511" priority="474" stopIfTrue="1" operator="equal">
      <formula>"J"</formula>
    </cfRule>
  </conditionalFormatting>
  <conditionalFormatting sqref="AH24 AH26 AH28 AH30 AH32 AH34">
    <cfRule type="cellIs" dxfId="510" priority="459" stopIfTrue="1" operator="equal">
      <formula>"J"</formula>
    </cfRule>
  </conditionalFormatting>
  <conditionalFormatting sqref="AT24 AT26 AT28 AT30 AT32 AT34">
    <cfRule type="cellIs" dxfId="509" priority="456" stopIfTrue="1" operator="equal">
      <formula>"J"</formula>
    </cfRule>
  </conditionalFormatting>
  <conditionalFormatting sqref="AW24 AW26 AW28 AW30 AW32 AW34">
    <cfRule type="cellIs" dxfId="508" priority="453" stopIfTrue="1" operator="equal">
      <formula>"J"</formula>
    </cfRule>
  </conditionalFormatting>
  <conditionalFormatting sqref="AZ24 AZ26 AZ28 AZ30 AZ32 AZ34">
    <cfRule type="cellIs" dxfId="507" priority="450" stopIfTrue="1" operator="equal">
      <formula>"J"</formula>
    </cfRule>
  </conditionalFormatting>
  <conditionalFormatting sqref="BM24 BM26 BM28 BM30 BM32 BM34">
    <cfRule type="cellIs" dxfId="506" priority="447" stopIfTrue="1" operator="equal">
      <formula>"J"</formula>
    </cfRule>
  </conditionalFormatting>
  <conditionalFormatting sqref="BP24 BP26 BP28 BP30 BP32 BP34">
    <cfRule type="cellIs" dxfId="505" priority="444" stopIfTrue="1" operator="equal">
      <formula>"J"</formula>
    </cfRule>
  </conditionalFormatting>
  <conditionalFormatting sqref="CB24 CB26 CB28 CB30 CB32 CB34">
    <cfRule type="cellIs" dxfId="504" priority="441" stopIfTrue="1" operator="equal">
      <formula>"J"</formula>
    </cfRule>
  </conditionalFormatting>
  <conditionalFormatting sqref="CE24 CE26 CE28 CE30 CE32 CE34">
    <cfRule type="cellIs" dxfId="503" priority="438" stopIfTrue="1" operator="equal">
      <formula>"J"</formula>
    </cfRule>
  </conditionalFormatting>
  <conditionalFormatting sqref="CH24 CH26 CH28 CH30 CH32 CH34">
    <cfRule type="cellIs" dxfId="502" priority="435" stopIfTrue="1" operator="equal">
      <formula>"J"</formula>
    </cfRule>
  </conditionalFormatting>
  <conditionalFormatting sqref="BK24 BK26 BK28 BK30 BK32 BK34">
    <cfRule type="cellIs" dxfId="501" priority="432" stopIfTrue="1" operator="equal">
      <formula>"J"</formula>
    </cfRule>
  </conditionalFormatting>
  <conditionalFormatting sqref="AQ25 AQ27 AQ29 AQ31 AQ33 AQ35 V25 V27 V29 V31 V33 V35">
    <cfRule type="cellIs" dxfId="500" priority="428" stopIfTrue="1" operator="equal">
      <formula>0</formula>
    </cfRule>
  </conditionalFormatting>
  <conditionalFormatting sqref="J25 J27 J29 J31 J33 J35 Q25:U25 Q27:U27 Q29:U29 Q31:U31 Q33:U33 Q35:U35 L25 L27 L29 L31 L33 L35">
    <cfRule type="cellIs" dxfId="499" priority="429" stopIfTrue="1" operator="equal">
      <formula>"J"</formula>
    </cfRule>
  </conditionalFormatting>
  <conditionalFormatting sqref="BE25 BE27 BE29 BE31 BE33 BE35">
    <cfRule type="cellIs" dxfId="498" priority="422" stopIfTrue="1" operator="equal">
      <formula>0</formula>
    </cfRule>
  </conditionalFormatting>
  <conditionalFormatting sqref="BB25:BD25 BB27:BD27 BB29:BD29 BB31:BD31 BB33:BD33 BB35:BD35">
    <cfRule type="cellIs" dxfId="497" priority="423" stopIfTrue="1" operator="equal">
      <formula>"J"</formula>
    </cfRule>
  </conditionalFormatting>
  <conditionalFormatting sqref="BF25 BF27 BF29 BF31 BF33 BF35">
    <cfRule type="cellIs" dxfId="496" priority="419" stopIfTrue="1" operator="equal">
      <formula>0</formula>
    </cfRule>
  </conditionalFormatting>
  <conditionalFormatting sqref="CN25 CN27 CN29 CN31 CN33 CN35">
    <cfRule type="cellIs" dxfId="495" priority="398" stopIfTrue="1" operator="equal">
      <formula>0</formula>
    </cfRule>
  </conditionalFormatting>
  <conditionalFormatting sqref="CX25 CX27 CX29 CX31 CX33 CX35">
    <cfRule type="cellIs" dxfId="494" priority="390" stopIfTrue="1" operator="equal">
      <formula>"J"</formula>
    </cfRule>
  </conditionalFormatting>
  <conditionalFormatting sqref="AH25 AH27 AH29 AH31 AH33 AH35">
    <cfRule type="cellIs" dxfId="493" priority="375" stopIfTrue="1" operator="equal">
      <formula>"J"</formula>
    </cfRule>
  </conditionalFormatting>
  <conditionalFormatting sqref="AT25 AT27 AT29 AT31 AT33 AT35">
    <cfRule type="cellIs" dxfId="492" priority="372" stopIfTrue="1" operator="equal">
      <formula>"J"</formula>
    </cfRule>
  </conditionalFormatting>
  <conditionalFormatting sqref="AW25 AW27 AW29 AW31 AW33 AW35">
    <cfRule type="cellIs" dxfId="491" priority="369" stopIfTrue="1" operator="equal">
      <formula>"J"</formula>
    </cfRule>
  </conditionalFormatting>
  <conditionalFormatting sqref="AZ25 AZ27 AZ29 AZ31 AZ33 AZ35">
    <cfRule type="cellIs" dxfId="490" priority="366" stopIfTrue="1" operator="equal">
      <formula>"J"</formula>
    </cfRule>
  </conditionalFormatting>
  <conditionalFormatting sqref="BM25 BM27 BM29 BM31 BM33 BM35">
    <cfRule type="cellIs" dxfId="489" priority="363" stopIfTrue="1" operator="equal">
      <formula>"J"</formula>
    </cfRule>
  </conditionalFormatting>
  <conditionalFormatting sqref="BP25 BP27 BP29 BP31 BP33 BP35">
    <cfRule type="cellIs" dxfId="488" priority="360" stopIfTrue="1" operator="equal">
      <formula>"J"</formula>
    </cfRule>
  </conditionalFormatting>
  <conditionalFormatting sqref="CE25 CE27 CE29 CE31 CE33 CE35">
    <cfRule type="cellIs" dxfId="487" priority="354" stopIfTrue="1" operator="equal">
      <formula>"J"</formula>
    </cfRule>
  </conditionalFormatting>
  <conditionalFormatting sqref="CH25 CH27 CH29 CH31 CH33 CH35">
    <cfRule type="cellIs" dxfId="486" priority="351" stopIfTrue="1" operator="equal">
      <formula>"J"</formula>
    </cfRule>
  </conditionalFormatting>
  <conditionalFormatting sqref="BK25 BK27 BK29 BK31 BK33 BK35">
    <cfRule type="cellIs" dxfId="485" priority="348" stopIfTrue="1" operator="equal">
      <formula>"J"</formula>
    </cfRule>
  </conditionalFormatting>
  <conditionalFormatting sqref="AQ24 AQ26 AQ28 AQ30 AQ32 AQ34 V24 V26 V28 V30 V32 V34">
    <cfRule type="cellIs" dxfId="484" priority="512" stopIfTrue="1" operator="equal">
      <formula>0</formula>
    </cfRule>
  </conditionalFormatting>
  <conditionalFormatting sqref="J24 J26 J28 J30 J32 J34 Q24:U24 Q26:U26 Q28:U28 Q30:U30 Q32:U32 Q34:U34 L24 L26 L28 L30 L32 L34">
    <cfRule type="cellIs" dxfId="483" priority="513" stopIfTrue="1" operator="equal">
      <formula>"J"</formula>
    </cfRule>
  </conditionalFormatting>
  <conditionalFormatting sqref="W24 W26 W28 W30 W32 W34">
    <cfRule type="cellIs" dxfId="482" priority="508" stopIfTrue="1" operator="equal">
      <formula>0</formula>
    </cfRule>
  </conditionalFormatting>
  <conditionalFormatting sqref="BE24 BE26 BE28 BE30 BE32 BE34">
    <cfRule type="cellIs" dxfId="481" priority="506" stopIfTrue="1" operator="equal">
      <formula>0</formula>
    </cfRule>
  </conditionalFormatting>
  <conditionalFormatting sqref="BB24:BD24 BB26:BD26 BB28:BD28 BB30:BD30 BB32:BD32 BB34:BD34">
    <cfRule type="cellIs" dxfId="480" priority="507" stopIfTrue="1" operator="equal">
      <formula>"J"</formula>
    </cfRule>
  </conditionalFormatting>
  <conditionalFormatting sqref="BW24 BW26 BW28 BW30 BW32 BW34">
    <cfRule type="cellIs" dxfId="479" priority="493" stopIfTrue="1" operator="equal">
      <formula>0</formula>
    </cfRule>
  </conditionalFormatting>
  <conditionalFormatting sqref="DF24 DF26 DF28 DF30 DF32 DF34">
    <cfRule type="cellIs" dxfId="478" priority="490" stopIfTrue="1" operator="equal">
      <formula>0</formula>
    </cfRule>
  </conditionalFormatting>
  <conditionalFormatting sqref="CN24 CN26 CN28 CN30 CN32 CN34">
    <cfRule type="cellIs" dxfId="477" priority="482" stopIfTrue="1" operator="equal">
      <formula>0</formula>
    </cfRule>
  </conditionalFormatting>
  <conditionalFormatting sqref="DC24 DC26 DC28 DC30 DC32 DC34">
    <cfRule type="cellIs" dxfId="476" priority="480" stopIfTrue="1" operator="equal">
      <formula>0</formula>
    </cfRule>
  </conditionalFormatting>
  <conditionalFormatting sqref="CY24:DB24 CY26:DB26 CY28:DB28 CY30:DB30 CY32:DB32 CY34:DB34">
    <cfRule type="cellIs" dxfId="475" priority="481" stopIfTrue="1" operator="equal">
      <formula>"J"</formula>
    </cfRule>
  </conditionalFormatting>
  <conditionalFormatting sqref="CW24 CW26 CW28 CW30 CW32 CW34">
    <cfRule type="cellIs" dxfId="474" priority="475" stopIfTrue="1" operator="equal">
      <formula>"J"</formula>
    </cfRule>
  </conditionalFormatting>
  <conditionalFormatting sqref="AF24 AF26 AF28 AF30 AF32 AF34">
    <cfRule type="cellIs" dxfId="473" priority="460" stopIfTrue="1" operator="equal">
      <formula>"J"</formula>
    </cfRule>
  </conditionalFormatting>
  <conditionalFormatting sqref="AR24 AR26 AR28 AR30 AR32 AR34">
    <cfRule type="cellIs" dxfId="472" priority="457" stopIfTrue="1" operator="equal">
      <formula>"J"</formula>
    </cfRule>
  </conditionalFormatting>
  <conditionalFormatting sqref="AV24 AV26 AV28 AV30 AV32 AV34">
    <cfRule type="cellIs" dxfId="471" priority="454" stopIfTrue="1" operator="equal">
      <formula>"J"</formula>
    </cfRule>
  </conditionalFormatting>
  <conditionalFormatting sqref="AY24 AY26 AY28 AY30 AY32 AY34">
    <cfRule type="cellIs" dxfId="470" priority="451" stopIfTrue="1" operator="equal">
      <formula>"J"</formula>
    </cfRule>
  </conditionalFormatting>
  <conditionalFormatting sqref="BJ24 BJ26 BJ28 BJ30 BJ32 BJ34">
    <cfRule type="cellIs" dxfId="469" priority="448" stopIfTrue="1" operator="equal">
      <formula>"J"</formula>
    </cfRule>
  </conditionalFormatting>
  <conditionalFormatting sqref="BO24 BO26 BO28 BO30 BO32 BO34">
    <cfRule type="cellIs" dxfId="468" priority="445" stopIfTrue="1" operator="equal">
      <formula>"J"</formula>
    </cfRule>
  </conditionalFormatting>
  <conditionalFormatting sqref="CA24 CA26 CA28 CA30 CA32 CA34">
    <cfRule type="cellIs" dxfId="467" priority="442" stopIfTrue="1" operator="equal">
      <formula>"J"</formula>
    </cfRule>
  </conditionalFormatting>
  <conditionalFormatting sqref="CD24 CD26 CD28 CD30 CD32 CD34">
    <cfRule type="cellIs" dxfId="466" priority="439" stopIfTrue="1" operator="equal">
      <formula>"J"</formula>
    </cfRule>
  </conditionalFormatting>
  <conditionalFormatting sqref="CG24 CG26 CG28 CG30 CG32 CG34">
    <cfRule type="cellIs" dxfId="465" priority="436" stopIfTrue="1" operator="equal">
      <formula>"J"</formula>
    </cfRule>
  </conditionalFormatting>
  <conditionalFormatting sqref="CQ24 CQ26 CQ28 CQ30 CQ32 CQ34">
    <cfRule type="cellIs" dxfId="464" priority="434" stopIfTrue="1" operator="equal">
      <formula>"J"</formula>
    </cfRule>
  </conditionalFormatting>
  <conditionalFormatting sqref="BF24 BF26 BF28 BF30 BF32 BF34">
    <cfRule type="cellIs" dxfId="463" priority="503" stopIfTrue="1" operator="equal">
      <formula>0</formula>
    </cfRule>
  </conditionalFormatting>
  <conditionalFormatting sqref="AM24 AM26 AM28 AM30 AM32 AM34">
    <cfRule type="cellIs" dxfId="462" priority="501" stopIfTrue="1" operator="equal">
      <formula>0</formula>
    </cfRule>
  </conditionalFormatting>
  <conditionalFormatting sqref="AJ24:AL24 AJ26:AL26 AJ28:AL28 AJ30:AL30 AJ32:AL32 AJ34:AL34">
    <cfRule type="cellIs" dxfId="461" priority="502" stopIfTrue="1" operator="equal">
      <formula>"J"</formula>
    </cfRule>
  </conditionalFormatting>
  <conditionalFormatting sqref="CM24 CM26 CM28 CM30 CM32 CM34">
    <cfRule type="cellIs" dxfId="460" priority="484" stopIfTrue="1" operator="equal">
      <formula>0</formula>
    </cfRule>
  </conditionalFormatting>
  <conditionalFormatting sqref="CJ24:CL24 CJ26:CL26 CJ28:CL28 CJ30:CL30 CJ32:CL32 CJ34:CL34">
    <cfRule type="cellIs" dxfId="459" priority="485" stopIfTrue="1" operator="equal">
      <formula>"J"</formula>
    </cfRule>
  </conditionalFormatting>
  <conditionalFormatting sqref="CV24 CV26 CV28 CV30 CV32 CV34">
    <cfRule type="cellIs" dxfId="458" priority="476" stopIfTrue="1" operator="equal">
      <formula>"J"</formula>
    </cfRule>
  </conditionalFormatting>
  <conditionalFormatting sqref="AI24 AI26 AI28 AI30 AI32 AI34">
    <cfRule type="cellIs" dxfId="457" priority="458" stopIfTrue="1" operator="equal">
      <formula>"J"</formula>
    </cfRule>
  </conditionalFormatting>
  <conditionalFormatting sqref="AU24 AU26 AU28 AU30 AU32 AU34">
    <cfRule type="cellIs" dxfId="456" priority="455" stopIfTrue="1" operator="equal">
      <formula>"J"</formula>
    </cfRule>
  </conditionalFormatting>
  <conditionalFormatting sqref="AX24 AX26 AX28 AX30 AX32 AX34">
    <cfRule type="cellIs" dxfId="455" priority="452" stopIfTrue="1" operator="equal">
      <formula>"J"</formula>
    </cfRule>
  </conditionalFormatting>
  <conditionalFormatting sqref="BA24 BA26 BA28 BA30 BA32 BA34">
    <cfRule type="cellIs" dxfId="454" priority="449" stopIfTrue="1" operator="equal">
      <formula>"J"</formula>
    </cfRule>
  </conditionalFormatting>
  <conditionalFormatting sqref="BN24 BN26 BN28 BN30 BN32 BN34">
    <cfRule type="cellIs" dxfId="453" priority="446" stopIfTrue="1" operator="equal">
      <formula>"J"</formula>
    </cfRule>
  </conditionalFormatting>
  <conditionalFormatting sqref="BZ24 BZ26 BZ28 BZ30 BZ32 BZ34">
    <cfRule type="cellIs" dxfId="452" priority="443" stopIfTrue="1" operator="equal">
      <formula>"J"</formula>
    </cfRule>
  </conditionalFormatting>
  <conditionalFormatting sqref="CC24 CC26 CC28 CC30 CC32 CC34">
    <cfRule type="cellIs" dxfId="451" priority="440" stopIfTrue="1" operator="equal">
      <formula>"J"</formula>
    </cfRule>
  </conditionalFormatting>
  <conditionalFormatting sqref="CF24 CF26 CF28 CF30 CF32 CF34">
    <cfRule type="cellIs" dxfId="450" priority="437" stopIfTrue="1" operator="equal">
      <formula>"J"</formula>
    </cfRule>
  </conditionalFormatting>
  <conditionalFormatting sqref="X24 X26 X28 X30 X32 X34">
    <cfRule type="cellIs" dxfId="449" priority="511" operator="equal">
      <formula>"J"</formula>
    </cfRule>
  </conditionalFormatting>
  <conditionalFormatting sqref="M24:N24 M26:N26 M28:N28 M30:N30 M32:N32 M34:N34">
    <cfRule type="cellIs" dxfId="448" priority="510" operator="equal">
      <formula>"J"</formula>
    </cfRule>
  </conditionalFormatting>
  <conditionalFormatting sqref="Y24:Z24 Y26:Z26 Y28:Z28 Y30:Z30 Y32:Z32 Y34:Z34">
    <cfRule type="cellIs" dxfId="447" priority="509" operator="equal">
      <formula>"J"</formula>
    </cfRule>
  </conditionalFormatting>
  <conditionalFormatting sqref="BG24 BG26 BG28 BG30 BG32 BG34">
    <cfRule type="cellIs" dxfId="446" priority="505" operator="equal">
      <formula>"J"</formula>
    </cfRule>
  </conditionalFormatting>
  <conditionalFormatting sqref="BH24 BH26 BH28 BH30 BH32 BH34">
    <cfRule type="cellIs" dxfId="445" priority="504" operator="equal">
      <formula>"J"</formula>
    </cfRule>
  </conditionalFormatting>
  <conditionalFormatting sqref="AO24 AO26 AO28 AO30 AO32 AO34">
    <cfRule type="cellIs" dxfId="444" priority="500" operator="equal">
      <formula>"J"</formula>
    </cfRule>
  </conditionalFormatting>
  <conditionalFormatting sqref="AP24 AP26 AP28 AP30 AP32 AP34">
    <cfRule type="cellIs" dxfId="443" priority="499" operator="equal">
      <formula>"J"</formula>
    </cfRule>
  </conditionalFormatting>
  <conditionalFormatting sqref="AN24 AN26 AN28 AN30 AN32 AN34">
    <cfRule type="cellIs" dxfId="442" priority="498" stopIfTrue="1" operator="equal">
      <formula>0</formula>
    </cfRule>
  </conditionalFormatting>
  <conditionalFormatting sqref="BV24 BV26 BV28 BV30 BV32 BV34">
    <cfRule type="cellIs" dxfId="441" priority="496" stopIfTrue="1" operator="equal">
      <formula>0</formula>
    </cfRule>
  </conditionalFormatting>
  <conditionalFormatting sqref="BR24:BU24 BR26:BU26 BR28:BU28 BR30:BU30 BR32:BU32 BR34:BU34">
    <cfRule type="cellIs" dxfId="440" priority="497" stopIfTrue="1" operator="equal">
      <formula>"J"</formula>
    </cfRule>
  </conditionalFormatting>
  <conditionalFormatting sqref="BX24 BX26 BX28 BX30 BX32 BX34">
    <cfRule type="cellIs" dxfId="439" priority="495" operator="equal">
      <formula>"J"</formula>
    </cfRule>
  </conditionalFormatting>
  <conditionalFormatting sqref="BY24 BY26 BY28 BY30 BY32 BY34">
    <cfRule type="cellIs" dxfId="438" priority="494" operator="equal">
      <formula>"J"</formula>
    </cfRule>
  </conditionalFormatting>
  <conditionalFormatting sqref="DG24 DG26 DG28 DG30 DG32 DG34">
    <cfRule type="cellIs" dxfId="437" priority="492" operator="equal">
      <formula>"J"</formula>
    </cfRule>
  </conditionalFormatting>
  <conditionalFormatting sqref="DH24 DH26 DH28 DH30 DH32 DH34">
    <cfRule type="cellIs" dxfId="436" priority="491" operator="equal">
      <formula>"J"</formula>
    </cfRule>
  </conditionalFormatting>
  <conditionalFormatting sqref="CP24 CP26 CP28 CP30 CP32 CP34">
    <cfRule type="cellIs" dxfId="435" priority="489" stopIfTrue="1" operator="equal">
      <formula>0</formula>
    </cfRule>
  </conditionalFormatting>
  <conditionalFormatting sqref="DJ24 DJ26 DJ28 DJ30 DJ32 DJ34">
    <cfRule type="cellIs" dxfId="434" priority="488" stopIfTrue="1" operator="equal">
      <formula>"J"</formula>
    </cfRule>
  </conditionalFormatting>
  <conditionalFormatting sqref="O24 O26 O28 O30 O32 O34">
    <cfRule type="cellIs" dxfId="433" priority="487" operator="equal">
      <formula>"J"</formula>
    </cfRule>
  </conditionalFormatting>
  <conditionalFormatting sqref="P24 P26 P28 P30 P32 P34">
    <cfRule type="cellIs" dxfId="432" priority="486" operator="equal">
      <formula>"J"</formula>
    </cfRule>
  </conditionalFormatting>
  <conditionalFormatting sqref="CO24 CO26 CO28 CO30 CO32 CO34">
    <cfRule type="cellIs" dxfId="431" priority="483" operator="equal">
      <formula>"J"</formula>
    </cfRule>
  </conditionalFormatting>
  <conditionalFormatting sqref="DE24 DE26 DE28 DE30 DE32 DE34">
    <cfRule type="cellIs" dxfId="430" priority="479" operator="equal">
      <formula>"J"</formula>
    </cfRule>
  </conditionalFormatting>
  <conditionalFormatting sqref="CU24 CU26 CU28 CU30 CU32 CU34">
    <cfRule type="cellIs" dxfId="429" priority="478" operator="equal">
      <formula>"J"</formula>
    </cfRule>
  </conditionalFormatting>
  <conditionalFormatting sqref="DI24 DI26 DI28 DI30 DI32 DI34">
    <cfRule type="cellIs" dxfId="428" priority="473" operator="equal">
      <formula>"J"</formula>
    </cfRule>
  </conditionalFormatting>
  <conditionalFormatting sqref="AB24 AB26 AB28 AB30 AB32 AB34">
    <cfRule type="cellIs" dxfId="427" priority="472" operator="equal">
      <formula>"J"</formula>
    </cfRule>
  </conditionalFormatting>
  <conditionalFormatting sqref="AG24 AG26 AG28 AG30 AG32 AG34">
    <cfRule type="cellIs" dxfId="426" priority="471" operator="equal">
      <formula>"J"</formula>
    </cfRule>
  </conditionalFormatting>
  <conditionalFormatting sqref="AS24 AS26 AS28 AS30 AS32 AS34">
    <cfRule type="cellIs" dxfId="425" priority="470" operator="equal">
      <formula>"J"</formula>
    </cfRule>
  </conditionalFormatting>
  <conditionalFormatting sqref="BI24 BI26 BI28 BI30 BI32 BI34">
    <cfRule type="cellIs" dxfId="424" priority="469" operator="equal">
      <formula>"J"</formula>
    </cfRule>
  </conditionalFormatting>
  <conditionalFormatting sqref="BL24 BL26 BL28 BL30 BL32 BL34">
    <cfRule type="cellIs" dxfId="423" priority="468" operator="equal">
      <formula>"J"</formula>
    </cfRule>
  </conditionalFormatting>
  <conditionalFormatting sqref="BQ24 BQ26 BQ28 BQ30 BQ32 BQ34">
    <cfRule type="cellIs" dxfId="422" priority="467" operator="equal">
      <formula>"J"</formula>
    </cfRule>
  </conditionalFormatting>
  <conditionalFormatting sqref="CS24 CS26 CS28 CS30 CS32 CS34">
    <cfRule type="cellIs" dxfId="421" priority="466" operator="equal">
      <formula>"J"</formula>
    </cfRule>
  </conditionalFormatting>
  <conditionalFormatting sqref="CT24 CT26 CT28 CT30 CT32 CT34">
    <cfRule type="cellIs" dxfId="420" priority="465" operator="equal">
      <formula>"J"</formula>
    </cfRule>
  </conditionalFormatting>
  <conditionalFormatting sqref="CI24 CI26 CI28 CI30 CI32 CI34">
    <cfRule type="cellIs" dxfId="419" priority="464" operator="equal">
      <formula>"J"</formula>
    </cfRule>
  </conditionalFormatting>
  <conditionalFormatting sqref="AC24 AC26 AC28 AC30 AC32 AC34">
    <cfRule type="cellIs" dxfId="418" priority="463" operator="equal">
      <formula>"J"</formula>
    </cfRule>
  </conditionalFormatting>
  <conditionalFormatting sqref="AD24 AD26 AD28 AD30 AD32 AD34">
    <cfRule type="cellIs" dxfId="417" priority="462" operator="equal">
      <formula>"J"</formula>
    </cfRule>
  </conditionalFormatting>
  <conditionalFormatting sqref="AE24 AE26 AE28 AE30 AE32 AE34">
    <cfRule type="cellIs" dxfId="416" priority="461" operator="equal">
      <formula>"J"</formula>
    </cfRule>
  </conditionalFormatting>
  <conditionalFormatting sqref="CR24 CR26 CR28 CR30 CR32 CR34">
    <cfRule type="cellIs" dxfId="415" priority="433" stopIfTrue="1" operator="equal">
      <formula>"J"</formula>
    </cfRule>
  </conditionalFormatting>
  <conditionalFormatting sqref="DK24 DK26 DK28 DK30 DK32 DK34">
    <cfRule type="cellIs" dxfId="414" priority="431" stopIfTrue="1" operator="equal">
      <formula>"J"</formula>
    </cfRule>
  </conditionalFormatting>
  <conditionalFormatting sqref="AA24 AA26 AA28 AA30 AA32 AA34">
    <cfRule type="cellIs" dxfId="413" priority="430" stopIfTrue="1" operator="equal">
      <formula>"J"</formula>
    </cfRule>
  </conditionalFormatting>
  <conditionalFormatting sqref="AM25 AM27 AM29 AM31 AM33 AM35">
    <cfRule type="cellIs" dxfId="412" priority="417" stopIfTrue="1" operator="equal">
      <formula>0</formula>
    </cfRule>
  </conditionalFormatting>
  <conditionalFormatting sqref="AJ25:AL25 AJ27:AL27 AJ29:AL29 AJ31:AL31 AJ33:AL33 AJ35:AL35">
    <cfRule type="cellIs" dxfId="411" priority="418" stopIfTrue="1" operator="equal">
      <formula>"J"</formula>
    </cfRule>
  </conditionalFormatting>
  <conditionalFormatting sqref="AN25 AN27 AN29 AN31 AN33 AN35">
    <cfRule type="cellIs" dxfId="410" priority="414" stopIfTrue="1" operator="equal">
      <formula>0</formula>
    </cfRule>
  </conditionalFormatting>
  <conditionalFormatting sqref="CP25 CP27 CP29 CP31 CP33 CP35">
    <cfRule type="cellIs" dxfId="409" priority="405" stopIfTrue="1" operator="equal">
      <formula>0</formula>
    </cfRule>
  </conditionalFormatting>
  <conditionalFormatting sqref="CM25 CM27 CM29 CM31 CM33 CM35">
    <cfRule type="cellIs" dxfId="408" priority="400" stopIfTrue="1" operator="equal">
      <formula>0</formula>
    </cfRule>
  </conditionalFormatting>
  <conditionalFormatting sqref="CJ25:CL25 CJ27:CL27 CJ29:CL29 CJ31:CL31 CJ33:CL33 CJ35:CL35">
    <cfRule type="cellIs" dxfId="407" priority="401" stopIfTrue="1" operator="equal">
      <formula>"J"</formula>
    </cfRule>
  </conditionalFormatting>
  <conditionalFormatting sqref="CB25 CB27 CB29 CB31 CB33 CB35">
    <cfRule type="cellIs" dxfId="406" priority="357" stopIfTrue="1" operator="equal">
      <formula>"J"</formula>
    </cfRule>
  </conditionalFormatting>
  <conditionalFormatting sqref="W25 W27 W29 W31 W33 W35">
    <cfRule type="cellIs" dxfId="405" priority="424" stopIfTrue="1" operator="equal">
      <formula>0</formula>
    </cfRule>
  </conditionalFormatting>
  <conditionalFormatting sqref="BV25 BV27 BV29 BV31 BV33 BV35">
    <cfRule type="cellIs" dxfId="404" priority="412" stopIfTrue="1" operator="equal">
      <formula>0</formula>
    </cfRule>
  </conditionalFormatting>
  <conditionalFormatting sqref="BR25:BU25 BR27:BU27 BR29:BU29 BR31:BU31 BR33:BU33 BR35:BU35">
    <cfRule type="cellIs" dxfId="403" priority="413" stopIfTrue="1" operator="equal">
      <formula>"J"</formula>
    </cfRule>
  </conditionalFormatting>
  <conditionalFormatting sqref="BW25 BW27 BW29 BW31 BW33 BW35">
    <cfRule type="cellIs" dxfId="402" priority="409" stopIfTrue="1" operator="equal">
      <formula>0</formula>
    </cfRule>
  </conditionalFormatting>
  <conditionalFormatting sqref="DF25 DF27 DF29 DF31 DF33 DF35">
    <cfRule type="cellIs" dxfId="401" priority="406" stopIfTrue="1" operator="equal">
      <formula>0</formula>
    </cfRule>
  </conditionalFormatting>
  <conditionalFormatting sqref="DJ25 DJ27 DJ29 DJ31 DJ33 DJ35">
    <cfRule type="cellIs" dxfId="400" priority="404" stopIfTrue="1" operator="equal">
      <formula>"J"</formula>
    </cfRule>
  </conditionalFormatting>
  <conditionalFormatting sqref="CW25 CW27 CW29 CW31 CW33 CW35">
    <cfRule type="cellIs" dxfId="399" priority="391" stopIfTrue="1" operator="equal">
      <formula>"J"</formula>
    </cfRule>
  </conditionalFormatting>
  <conditionalFormatting sqref="AF25 AF27 AF29 AF31 AF33 AF35">
    <cfRule type="cellIs" dxfId="398" priority="376" stopIfTrue="1" operator="equal">
      <formula>"J"</formula>
    </cfRule>
  </conditionalFormatting>
  <conditionalFormatting sqref="AR25 AR27 AR29 AR31 AR33 AR35">
    <cfRule type="cellIs" dxfId="397" priority="373" stopIfTrue="1" operator="equal">
      <formula>"J"</formula>
    </cfRule>
  </conditionalFormatting>
  <conditionalFormatting sqref="AV25 AV27 AV29 AV31 AV33 AV35">
    <cfRule type="cellIs" dxfId="396" priority="370" stopIfTrue="1" operator="equal">
      <formula>"J"</formula>
    </cfRule>
  </conditionalFormatting>
  <conditionalFormatting sqref="AY25 AY27 AY29 AY31 AY33 AY35">
    <cfRule type="cellIs" dxfId="395" priority="367" stopIfTrue="1" operator="equal">
      <formula>"J"</formula>
    </cfRule>
  </conditionalFormatting>
  <conditionalFormatting sqref="BJ25 BJ27 BJ29 BJ31 BJ33 BJ35">
    <cfRule type="cellIs" dxfId="394" priority="364" stopIfTrue="1" operator="equal">
      <formula>"J"</formula>
    </cfRule>
  </conditionalFormatting>
  <conditionalFormatting sqref="BO25 BO27 BO29 BO31 BO33 BO35">
    <cfRule type="cellIs" dxfId="393" priority="361" stopIfTrue="1" operator="equal">
      <formula>"J"</formula>
    </cfRule>
  </conditionalFormatting>
  <conditionalFormatting sqref="CA25 CA27 CA29 CA31 CA33 CA35">
    <cfRule type="cellIs" dxfId="392" priority="358" stopIfTrue="1" operator="equal">
      <formula>"J"</formula>
    </cfRule>
  </conditionalFormatting>
  <conditionalFormatting sqref="CD25 CD27 CD29 CD31 CD33 CD35">
    <cfRule type="cellIs" dxfId="391" priority="355" stopIfTrue="1" operator="equal">
      <formula>"J"</formula>
    </cfRule>
  </conditionalFormatting>
  <conditionalFormatting sqref="CG25 CG27 CG29 CG31 CG33 CG35">
    <cfRule type="cellIs" dxfId="390" priority="352" stopIfTrue="1" operator="equal">
      <formula>"J"</formula>
    </cfRule>
  </conditionalFormatting>
  <conditionalFormatting sqref="CQ25 CQ27 CQ29 CQ31 CQ33 CQ35">
    <cfRule type="cellIs" dxfId="389" priority="350" stopIfTrue="1" operator="equal">
      <formula>"J"</formula>
    </cfRule>
  </conditionalFormatting>
  <conditionalFormatting sqref="X25 X27 X29 X31 X33 X35">
    <cfRule type="cellIs" dxfId="388" priority="427" operator="equal">
      <formula>"J"</formula>
    </cfRule>
  </conditionalFormatting>
  <conditionalFormatting sqref="M25:N25 M27:N27 M29:N29 M31:N31 M33:N33 M35:N35">
    <cfRule type="cellIs" dxfId="387" priority="426" operator="equal">
      <formula>"J"</formula>
    </cfRule>
  </conditionalFormatting>
  <conditionalFormatting sqref="Y25:Z25 Y27:Z27 Y29:Z29 Y31:Z31 Y33:Z33 Y35:Z35">
    <cfRule type="cellIs" dxfId="386" priority="425" operator="equal">
      <formula>"J"</formula>
    </cfRule>
  </conditionalFormatting>
  <conditionalFormatting sqref="BG25 BG27 BG29 BG31 BG33 BG35">
    <cfRule type="cellIs" dxfId="385" priority="421" operator="equal">
      <formula>"J"</formula>
    </cfRule>
  </conditionalFormatting>
  <conditionalFormatting sqref="BH25 BH27 BH29 BH31 BH33 BH35">
    <cfRule type="cellIs" dxfId="384" priority="420" operator="equal">
      <formula>"J"</formula>
    </cfRule>
  </conditionalFormatting>
  <conditionalFormatting sqref="AO25 AO27 AO29 AO31 AO33 AO35">
    <cfRule type="cellIs" dxfId="383" priority="416" operator="equal">
      <formula>"J"</formula>
    </cfRule>
  </conditionalFormatting>
  <conditionalFormatting sqref="AP25 AP27 AP29 AP31 AP33 AP35">
    <cfRule type="cellIs" dxfId="382" priority="415" operator="equal">
      <formula>"J"</formula>
    </cfRule>
  </conditionalFormatting>
  <conditionalFormatting sqref="BX25 BX27 BX29 BX31 BX33 BX35">
    <cfRule type="cellIs" dxfId="381" priority="411" operator="equal">
      <formula>"J"</formula>
    </cfRule>
  </conditionalFormatting>
  <conditionalFormatting sqref="BY25 BY27 BY29 BY31 BY33 BY35">
    <cfRule type="cellIs" dxfId="380" priority="410" operator="equal">
      <formula>"J"</formula>
    </cfRule>
  </conditionalFormatting>
  <conditionalFormatting sqref="DG25 DG27 DG29 DG31 DG33 DG35">
    <cfRule type="cellIs" dxfId="379" priority="408" operator="equal">
      <formula>"J"</formula>
    </cfRule>
  </conditionalFormatting>
  <conditionalFormatting sqref="DH25 DH27 DH29 DH31 DH33 DH35">
    <cfRule type="cellIs" dxfId="378" priority="407" operator="equal">
      <formula>"J"</formula>
    </cfRule>
  </conditionalFormatting>
  <conditionalFormatting sqref="O25 O27 O29 O31 O33 O35">
    <cfRule type="cellIs" dxfId="377" priority="403" operator="equal">
      <formula>"J"</formula>
    </cfRule>
  </conditionalFormatting>
  <conditionalFormatting sqref="P25 P27 P29 P31 P33 P35">
    <cfRule type="cellIs" dxfId="376" priority="402" operator="equal">
      <formula>"J"</formula>
    </cfRule>
  </conditionalFormatting>
  <conditionalFormatting sqref="CV25 CV27 CV29 CV31 CV33 CV35">
    <cfRule type="cellIs" dxfId="375" priority="392" stopIfTrue="1" operator="equal">
      <formula>"J"</formula>
    </cfRule>
  </conditionalFormatting>
  <conditionalFormatting sqref="CO25 CO27 CO29 CO31 CO33 CO35">
    <cfRule type="cellIs" dxfId="374" priority="399" operator="equal">
      <formula>"J"</formula>
    </cfRule>
  </conditionalFormatting>
  <conditionalFormatting sqref="DC25 DC27 DC29 DC31 DC33 DC35">
    <cfRule type="cellIs" dxfId="373" priority="396" stopIfTrue="1" operator="equal">
      <formula>0</formula>
    </cfRule>
  </conditionalFormatting>
  <conditionalFormatting sqref="CY25:DB25 CY27:DB27 CY29:DB29 CY31:DB31 CY33:DB33 CY35:DB35">
    <cfRule type="cellIs" dxfId="372" priority="397" stopIfTrue="1" operator="equal">
      <formula>"J"</formula>
    </cfRule>
  </conditionalFormatting>
  <conditionalFormatting sqref="DE25 DE27 DE29 DE31 DE33 DE35">
    <cfRule type="cellIs" dxfId="371" priority="395" operator="equal">
      <formula>"J"</formula>
    </cfRule>
  </conditionalFormatting>
  <conditionalFormatting sqref="CU25 CU27 CU29 CU31 CU33 CU35">
    <cfRule type="cellIs" dxfId="370" priority="394" operator="equal">
      <formula>"J"</formula>
    </cfRule>
  </conditionalFormatting>
  <conditionalFormatting sqref="DD25 DD27 DD29 DD31 DD33 DD35">
    <cfRule type="cellIs" dxfId="369" priority="393" stopIfTrue="1" operator="equal">
      <formula>0</formula>
    </cfRule>
  </conditionalFormatting>
  <conditionalFormatting sqref="DI25 DI27 DI29 DI31 DI33 DI35">
    <cfRule type="cellIs" dxfId="368" priority="389" operator="equal">
      <formula>"J"</formula>
    </cfRule>
  </conditionalFormatting>
  <conditionalFormatting sqref="AB25 AB27 AB29 AB31 AB33 AB35">
    <cfRule type="cellIs" dxfId="367" priority="388" operator="equal">
      <formula>"J"</formula>
    </cfRule>
  </conditionalFormatting>
  <conditionalFormatting sqref="AG25 AG27 AG29 AG31 AG33 AG35">
    <cfRule type="cellIs" dxfId="366" priority="387" operator="equal">
      <formula>"J"</formula>
    </cfRule>
  </conditionalFormatting>
  <conditionalFormatting sqref="AS25 AS27 AS29 AS31 AS33 AS35">
    <cfRule type="cellIs" dxfId="365" priority="386" operator="equal">
      <formula>"J"</formula>
    </cfRule>
  </conditionalFormatting>
  <conditionalFormatting sqref="BI25 BI27 BI29 BI31 BI33 BI35">
    <cfRule type="cellIs" dxfId="364" priority="385" operator="equal">
      <formula>"J"</formula>
    </cfRule>
  </conditionalFormatting>
  <conditionalFormatting sqref="BL25 BL27 BL29 BL31 BL33 BL35">
    <cfRule type="cellIs" dxfId="363" priority="384" operator="equal">
      <formula>"J"</formula>
    </cfRule>
  </conditionalFormatting>
  <conditionalFormatting sqref="BQ25 BQ27 BQ29 BQ31 BQ33 BQ35">
    <cfRule type="cellIs" dxfId="362" priority="383" operator="equal">
      <formula>"J"</formula>
    </cfRule>
  </conditionalFormatting>
  <conditionalFormatting sqref="CS25 CS27 CS29 CS31 CS33 CS35">
    <cfRule type="cellIs" dxfId="361" priority="382" operator="equal">
      <formula>"J"</formula>
    </cfRule>
  </conditionalFormatting>
  <conditionalFormatting sqref="CT25 CT27 CT29 CT31 CT33 CT35">
    <cfRule type="cellIs" dxfId="360" priority="381" operator="equal">
      <formula>"J"</formula>
    </cfRule>
  </conditionalFormatting>
  <conditionalFormatting sqref="CI25 CI27 CI29 CI31 CI33 CI35">
    <cfRule type="cellIs" dxfId="359" priority="380" operator="equal">
      <formula>"J"</formula>
    </cfRule>
  </conditionalFormatting>
  <conditionalFormatting sqref="AC25 AC27 AC29 AC31 AC33 AC35">
    <cfRule type="cellIs" dxfId="358" priority="379" operator="equal">
      <formula>"J"</formula>
    </cfRule>
  </conditionalFormatting>
  <conditionalFormatting sqref="AD25 AD27 AD29 AD31 AD33 AD35">
    <cfRule type="cellIs" dxfId="357" priority="378" operator="equal">
      <formula>"J"</formula>
    </cfRule>
  </conditionalFormatting>
  <conditionalFormatting sqref="AE25 AE27 AE29 AE31 AE33 AE35">
    <cfRule type="cellIs" dxfId="356" priority="377" operator="equal">
      <formula>"J"</formula>
    </cfRule>
  </conditionalFormatting>
  <conditionalFormatting sqref="AI25 AI27 AI29 AI31 AI33 AI35">
    <cfRule type="cellIs" dxfId="355" priority="374" stopIfTrue="1" operator="equal">
      <formula>"J"</formula>
    </cfRule>
  </conditionalFormatting>
  <conditionalFormatting sqref="AU25 AU27 AU29 AU31 AU33 AU35">
    <cfRule type="cellIs" dxfId="354" priority="371" stopIfTrue="1" operator="equal">
      <formula>"J"</formula>
    </cfRule>
  </conditionalFormatting>
  <conditionalFormatting sqref="AX25 AX27 AX29 AX31 AX33 AX35">
    <cfRule type="cellIs" dxfId="353" priority="368" stopIfTrue="1" operator="equal">
      <formula>"J"</formula>
    </cfRule>
  </conditionalFormatting>
  <conditionalFormatting sqref="BA25 BA27 BA29 BA31 BA33 BA35">
    <cfRule type="cellIs" dxfId="352" priority="365" stopIfTrue="1" operator="equal">
      <formula>"J"</formula>
    </cfRule>
  </conditionalFormatting>
  <conditionalFormatting sqref="BN25 BN27 BN29 BN31 BN33 BN35">
    <cfRule type="cellIs" dxfId="351" priority="362" stopIfTrue="1" operator="equal">
      <formula>"J"</formula>
    </cfRule>
  </conditionalFormatting>
  <conditionalFormatting sqref="BZ25 BZ27 BZ29 BZ31 BZ33 BZ35">
    <cfRule type="cellIs" dxfId="350" priority="359" stopIfTrue="1" operator="equal">
      <formula>"J"</formula>
    </cfRule>
  </conditionalFormatting>
  <conditionalFormatting sqref="CC25 CC27 CC29 CC31 CC33 CC35">
    <cfRule type="cellIs" dxfId="349" priority="356" stopIfTrue="1" operator="equal">
      <formula>"J"</formula>
    </cfRule>
  </conditionalFormatting>
  <conditionalFormatting sqref="CF25 CF27 CF29 CF31 CF33 CF35">
    <cfRule type="cellIs" dxfId="348" priority="353" stopIfTrue="1" operator="equal">
      <formula>"J"</formula>
    </cfRule>
  </conditionalFormatting>
  <conditionalFormatting sqref="CR25 CR27 CR29 CR31 CR33 CR35">
    <cfRule type="cellIs" dxfId="347" priority="349" stopIfTrue="1" operator="equal">
      <formula>"J"</formula>
    </cfRule>
  </conditionalFormatting>
  <conditionalFormatting sqref="DK25 DK27 DK29 DK31 DK33 DK35">
    <cfRule type="cellIs" dxfId="346" priority="347" stopIfTrue="1" operator="equal">
      <formula>"J"</formula>
    </cfRule>
  </conditionalFormatting>
  <conditionalFormatting sqref="AA25 AA27 AA29 AA31 AA33 AA35">
    <cfRule type="cellIs" dxfId="345" priority="346" stopIfTrue="1" operator="equal">
      <formula>"J"</formula>
    </cfRule>
  </conditionalFormatting>
  <conditionalFormatting sqref="K25 K27 K29 K31 K33 K35">
    <cfRule type="cellIs" dxfId="344" priority="344" stopIfTrue="1" operator="equal">
      <formula>"J"</formula>
    </cfRule>
  </conditionalFormatting>
  <conditionalFormatting sqref="K24 K26 K28 K30 K32 K34">
    <cfRule type="cellIs" dxfId="343" priority="345" stopIfTrue="1" operator="equal">
      <formula>"J"</formula>
    </cfRule>
  </conditionalFormatting>
  <conditionalFormatting sqref="K7:X7 AA7:AO7 BZ7:CN7 BI7:BW7 AR7:BF7">
    <cfRule type="cellIs" dxfId="342" priority="343" stopIfTrue="1" operator="equal">
      <formula>"a"</formula>
    </cfRule>
  </conditionalFormatting>
  <conditionalFormatting sqref="J7">
    <cfRule type="cellIs" dxfId="341" priority="342" stopIfTrue="1" operator="equal">
      <formula>"a"</formula>
    </cfRule>
  </conditionalFormatting>
  <conditionalFormatting sqref="CQ7:CU7">
    <cfRule type="cellIs" dxfId="340" priority="341" stopIfTrue="1" operator="equal">
      <formula>"a"</formula>
    </cfRule>
  </conditionalFormatting>
  <conditionalFormatting sqref="DD36 DD38 DD40 DD42 DD44 DD46 DD48 DD50 DD52 DD54">
    <cfRule type="cellIs" dxfId="339" priority="304" stopIfTrue="1" operator="equal">
      <formula>0</formula>
    </cfRule>
  </conditionalFormatting>
  <conditionalFormatting sqref="CX36 CX38 CX40 CX42 CX44 CX46 CX48 CX50 CX52 CX54">
    <cfRule type="cellIs" dxfId="338" priority="301" stopIfTrue="1" operator="equal">
      <formula>"J"</formula>
    </cfRule>
  </conditionalFormatting>
  <conditionalFormatting sqref="AH36 AH38 AH40 AH42 AH44 AH46 AH48 AH50 AH52 AH54">
    <cfRule type="cellIs" dxfId="337" priority="286" stopIfTrue="1" operator="equal">
      <formula>"J"</formula>
    </cfRule>
  </conditionalFormatting>
  <conditionalFormatting sqref="AT36 AT38 AT40 AT42 AT44 AT46 AT48 AT50 AT52 AT54">
    <cfRule type="cellIs" dxfId="336" priority="283" stopIfTrue="1" operator="equal">
      <formula>"J"</formula>
    </cfRule>
  </conditionalFormatting>
  <conditionalFormatting sqref="AW36 AW38 AW40 AW42 AW44 AW46 AW48 AW50 AW52 AW54">
    <cfRule type="cellIs" dxfId="335" priority="280" stopIfTrue="1" operator="equal">
      <formula>"J"</formula>
    </cfRule>
  </conditionalFormatting>
  <conditionalFormatting sqref="AZ36 AZ38 AZ40 AZ42 AZ44 AZ46 AZ48 AZ50 AZ52 AZ54">
    <cfRule type="cellIs" dxfId="334" priority="277" stopIfTrue="1" operator="equal">
      <formula>"J"</formula>
    </cfRule>
  </conditionalFormatting>
  <conditionalFormatting sqref="BM36 BM38 BM40 BM42 BM44 BM46 BM48 BM50 BM52 BM54">
    <cfRule type="cellIs" dxfId="333" priority="274" stopIfTrue="1" operator="equal">
      <formula>"J"</formula>
    </cfRule>
  </conditionalFormatting>
  <conditionalFormatting sqref="BP36 BP38 BP40 BP42 BP44 BP46 BP48 BP50 BP52 BP54">
    <cfRule type="cellIs" dxfId="332" priority="271" stopIfTrue="1" operator="equal">
      <formula>"J"</formula>
    </cfRule>
  </conditionalFormatting>
  <conditionalFormatting sqref="CB36 CB38 CB40 CB42 CB44 CB46 CB48 CB50 CB52 CB54">
    <cfRule type="cellIs" dxfId="331" priority="268" stopIfTrue="1" operator="equal">
      <formula>"J"</formula>
    </cfRule>
  </conditionalFormatting>
  <conditionalFormatting sqref="CE36 CE38 CE40 CE42 CE44 CE46 CE48 CE50 CE52 CE54">
    <cfRule type="cellIs" dxfId="330" priority="265" stopIfTrue="1" operator="equal">
      <formula>"J"</formula>
    </cfRule>
  </conditionalFormatting>
  <conditionalFormatting sqref="CH36 CH38 CH40 CH42 CH44 CH46 CH48 CH50 CH52 CH54">
    <cfRule type="cellIs" dxfId="329" priority="262" stopIfTrue="1" operator="equal">
      <formula>"J"</formula>
    </cfRule>
  </conditionalFormatting>
  <conditionalFormatting sqref="BK36 BK38 BK40 BK42 BK44 BK46 BK48 BK50 BK52 BK54">
    <cfRule type="cellIs" dxfId="328" priority="259" stopIfTrue="1" operator="equal">
      <formula>"J"</formula>
    </cfRule>
  </conditionalFormatting>
  <conditionalFormatting sqref="AQ37 AQ39 AQ41 AQ43 AQ45 AQ47 AQ49 AQ51 AQ53 AQ55 V37 V39 V41 V43 V45 V47 V49 V51 V53 V55">
    <cfRule type="cellIs" dxfId="327" priority="255" stopIfTrue="1" operator="equal">
      <formula>0</formula>
    </cfRule>
  </conditionalFormatting>
  <conditionalFormatting sqref="J37 J39 J41 J43 J45 J47 J49 J51 J53 J55 Q37:U37 Q39:U39 Q41:U41 Q43:U43 Q45:U45 Q47:U47 Q49:U49 Q51:U51 Q53:U53 Q55:U55 L37 L39 L41 L43 L45 L47 L49 L51 L53 L55">
    <cfRule type="cellIs" dxfId="326" priority="256" stopIfTrue="1" operator="equal">
      <formula>"J"</formula>
    </cfRule>
  </conditionalFormatting>
  <conditionalFormatting sqref="BE37 BE39 BE41 BE43 BE45 BE47 BE49 BE51 BE53 BE55">
    <cfRule type="cellIs" dxfId="325" priority="249" stopIfTrue="1" operator="equal">
      <formula>0</formula>
    </cfRule>
  </conditionalFormatting>
  <conditionalFormatting sqref="BB37:BD37 BB39:BD39 BB41:BD41 BB43:BD43 BB45:BD45 BB47:BD47 BB49:BD49 BB51:BD51 BB53:BD53 BB55:BD55">
    <cfRule type="cellIs" dxfId="324" priority="250" stopIfTrue="1" operator="equal">
      <formula>"J"</formula>
    </cfRule>
  </conditionalFormatting>
  <conditionalFormatting sqref="BF37 BF39 BF41 BF43 BF45 BF47 BF49 BF51 BF53 BF55">
    <cfRule type="cellIs" dxfId="323" priority="246" stopIfTrue="1" operator="equal">
      <formula>0</formula>
    </cfRule>
  </conditionalFormatting>
  <conditionalFormatting sqref="CN37 CN39 CN41 CN43 CN45 CN47 CN49 CN51 CN53 CN55">
    <cfRule type="cellIs" dxfId="322" priority="225" stopIfTrue="1" operator="equal">
      <formula>0</formula>
    </cfRule>
  </conditionalFormatting>
  <conditionalFormatting sqref="CX37 CX39 CX41 CX43 CX45 CX47 CX49 CX51 CX53 CX55">
    <cfRule type="cellIs" dxfId="321" priority="217" stopIfTrue="1" operator="equal">
      <formula>"J"</formula>
    </cfRule>
  </conditionalFormatting>
  <conditionalFormatting sqref="AH37 AH39 AH41 AH43 AH45 AH47 AH49 AH51 AH53 AH55">
    <cfRule type="cellIs" dxfId="320" priority="202" stopIfTrue="1" operator="equal">
      <formula>"J"</formula>
    </cfRule>
  </conditionalFormatting>
  <conditionalFormatting sqref="AT37 AT39 AT41 AT43 AT45 AT47 AT49 AT51 AT53 AT55">
    <cfRule type="cellIs" dxfId="319" priority="199" stopIfTrue="1" operator="equal">
      <formula>"J"</formula>
    </cfRule>
  </conditionalFormatting>
  <conditionalFormatting sqref="AW37 AW39 AW41 AW43 AW45 AW47 AW49 AW51 AW53 AW55">
    <cfRule type="cellIs" dxfId="318" priority="196" stopIfTrue="1" operator="equal">
      <formula>"J"</formula>
    </cfRule>
  </conditionalFormatting>
  <conditionalFormatting sqref="AZ37 AZ39 AZ41 AZ43 AZ45 AZ47 AZ49 AZ51 AZ53 AZ55">
    <cfRule type="cellIs" dxfId="317" priority="193" stopIfTrue="1" operator="equal">
      <formula>"J"</formula>
    </cfRule>
  </conditionalFormatting>
  <conditionalFormatting sqref="BM37 BM39 BM41 BM43 BM45 BM47 BM49 BM51 BM53 BM55">
    <cfRule type="cellIs" dxfId="316" priority="190" stopIfTrue="1" operator="equal">
      <formula>"J"</formula>
    </cfRule>
  </conditionalFormatting>
  <conditionalFormatting sqref="BP37 BP39 BP41 BP43 BP45 BP47 BP49 BP51 BP53 BP55">
    <cfRule type="cellIs" dxfId="315" priority="187" stopIfTrue="1" operator="equal">
      <formula>"J"</formula>
    </cfRule>
  </conditionalFormatting>
  <conditionalFormatting sqref="CE37 CE39 CE41 CE43 CE45 CE47 CE49 CE51 CE53 CE55">
    <cfRule type="cellIs" dxfId="314" priority="181" stopIfTrue="1" operator="equal">
      <formula>"J"</formula>
    </cfRule>
  </conditionalFormatting>
  <conditionalFormatting sqref="CH37 CH39 CH41 CH43 CH45 CH47 CH49 CH51 CH53 CH55">
    <cfRule type="cellIs" dxfId="313" priority="178" stopIfTrue="1" operator="equal">
      <formula>"J"</formula>
    </cfRule>
  </conditionalFormatting>
  <conditionalFormatting sqref="BK37 BK39 BK41 BK43 BK45 BK47 BK49 BK51 BK53 BK55">
    <cfRule type="cellIs" dxfId="312" priority="175" stopIfTrue="1" operator="equal">
      <formula>"J"</formula>
    </cfRule>
  </conditionalFormatting>
  <conditionalFormatting sqref="AQ36 AQ38 AQ40 AQ42 AQ44 AQ46 AQ48 AQ50 AQ52 AQ54 V36 V38 V40 V42 V44 V46 V48 V50 V52 V54">
    <cfRule type="cellIs" dxfId="311" priority="339" stopIfTrue="1" operator="equal">
      <formula>0</formula>
    </cfRule>
  </conditionalFormatting>
  <conditionalFormatting sqref="J36 J38 J40 J42 J44 J46 J48 J50 J52 J54 Q36:U36 Q38:U38 Q40:U40 Q42:U42 Q44:U44 Q46:U46 Q48:U48 Q50:U50 Q52:U52 Q54:U54 L36 L38 L40 L42 L44 L46 L48 L50 L52 L54">
    <cfRule type="cellIs" dxfId="310" priority="340" stopIfTrue="1" operator="equal">
      <formula>"J"</formula>
    </cfRule>
  </conditionalFormatting>
  <conditionalFormatting sqref="W36 W38 W40 W42 W44 W46 W48 W50 W52 W54">
    <cfRule type="cellIs" dxfId="309" priority="335" stopIfTrue="1" operator="equal">
      <formula>0</formula>
    </cfRule>
  </conditionalFormatting>
  <conditionalFormatting sqref="BE36 BE38 BE40 BE42 BE44 BE46 BE48 BE50 BE52 BE54">
    <cfRule type="cellIs" dxfId="308" priority="333" stopIfTrue="1" operator="equal">
      <formula>0</formula>
    </cfRule>
  </conditionalFormatting>
  <conditionalFormatting sqref="BB36:BD36 BB38:BD38 BB40:BD40 BB42:BD42 BB44:BD44 BB46:BD46 BB48:BD48 BB50:BD50 BB52:BD52 BB54:BD54">
    <cfRule type="cellIs" dxfId="307" priority="334" stopIfTrue="1" operator="equal">
      <formula>"J"</formula>
    </cfRule>
  </conditionalFormatting>
  <conditionalFormatting sqref="BW36 BW38 BW40 BW42 BW44 BW46 BW48 BW50 BW52 BW54">
    <cfRule type="cellIs" dxfId="306" priority="320" stopIfTrue="1" operator="equal">
      <formula>0</formula>
    </cfRule>
  </conditionalFormatting>
  <conditionalFormatting sqref="DF36 DF38 DF40 DF42 DF44 DF46 DF48 DF50 DF52 DF54">
    <cfRule type="cellIs" dxfId="305" priority="317" stopIfTrue="1" operator="equal">
      <formula>0</formula>
    </cfRule>
  </conditionalFormatting>
  <conditionalFormatting sqref="CN36 CN38 CN40 CN42 CN44 CN46 CN48 CN50 CN52 CN54">
    <cfRule type="cellIs" dxfId="304" priority="309" stopIfTrue="1" operator="equal">
      <formula>0</formula>
    </cfRule>
  </conditionalFormatting>
  <conditionalFormatting sqref="DC36 DC38 DC40 DC42 DC44 DC46 DC48 DC50 DC52 DC54">
    <cfRule type="cellIs" dxfId="303" priority="307" stopIfTrue="1" operator="equal">
      <formula>0</formula>
    </cfRule>
  </conditionalFormatting>
  <conditionalFormatting sqref="CY36:DB36 CY38:DB38 CY40:DB40 CY42:DB42 CY44:DB44 CY46:DB46 CY48:DB48 CY50:DB50 CY52:DB52 CY54:DB54">
    <cfRule type="cellIs" dxfId="302" priority="308" stopIfTrue="1" operator="equal">
      <formula>"J"</formula>
    </cfRule>
  </conditionalFormatting>
  <conditionalFormatting sqref="CW36 CW38 CW40 CW42 CW44 CW46 CW48 CW50 CW52 CW54">
    <cfRule type="cellIs" dxfId="301" priority="302" stopIfTrue="1" operator="equal">
      <formula>"J"</formula>
    </cfRule>
  </conditionalFormatting>
  <conditionalFormatting sqref="AF36 AF38 AF40 AF42 AF44 AF46 AF48 AF50 AF52 AF54">
    <cfRule type="cellIs" dxfId="300" priority="287" stopIfTrue="1" operator="equal">
      <formula>"J"</formula>
    </cfRule>
  </conditionalFormatting>
  <conditionalFormatting sqref="AR36 AR38 AR40 AR42 AR44 AR46 AR48 AR50 AR52 AR54">
    <cfRule type="cellIs" dxfId="299" priority="284" stopIfTrue="1" operator="equal">
      <formula>"J"</formula>
    </cfRule>
  </conditionalFormatting>
  <conditionalFormatting sqref="AV36 AV38 AV40 AV42 AV44 AV46 AV48 AV50 AV52 AV54">
    <cfRule type="cellIs" dxfId="298" priority="281" stopIfTrue="1" operator="equal">
      <formula>"J"</formula>
    </cfRule>
  </conditionalFormatting>
  <conditionalFormatting sqref="AY36 AY38 AY40 AY42 AY44 AY46 AY48 AY50 AY52 AY54">
    <cfRule type="cellIs" dxfId="297" priority="278" stopIfTrue="1" operator="equal">
      <formula>"J"</formula>
    </cfRule>
  </conditionalFormatting>
  <conditionalFormatting sqref="BJ36 BJ38 BJ40 BJ42 BJ44 BJ46 BJ48 BJ50 BJ52 BJ54">
    <cfRule type="cellIs" dxfId="296" priority="275" stopIfTrue="1" operator="equal">
      <formula>"J"</formula>
    </cfRule>
  </conditionalFormatting>
  <conditionalFormatting sqref="BO36 BO38 BO40 BO42 BO44 BO46 BO48 BO50 BO52 BO54">
    <cfRule type="cellIs" dxfId="295" priority="272" stopIfTrue="1" operator="equal">
      <formula>"J"</formula>
    </cfRule>
  </conditionalFormatting>
  <conditionalFormatting sqref="CA36 CA38 CA40 CA42 CA44 CA46 CA48 CA50 CA52 CA54">
    <cfRule type="cellIs" dxfId="294" priority="269" stopIfTrue="1" operator="equal">
      <formula>"J"</formula>
    </cfRule>
  </conditionalFormatting>
  <conditionalFormatting sqref="CD36 CD38 CD40 CD42 CD44 CD46 CD48 CD50 CD52 CD54">
    <cfRule type="cellIs" dxfId="293" priority="266" stopIfTrue="1" operator="equal">
      <formula>"J"</formula>
    </cfRule>
  </conditionalFormatting>
  <conditionalFormatting sqref="CG36 CG38 CG40 CG42 CG44 CG46 CG48 CG50 CG52 CG54">
    <cfRule type="cellIs" dxfId="292" priority="263" stopIfTrue="1" operator="equal">
      <formula>"J"</formula>
    </cfRule>
  </conditionalFormatting>
  <conditionalFormatting sqref="CQ36 CQ38 CQ40 CQ42 CQ44 CQ46 CQ48 CQ50 CQ52 CQ54">
    <cfRule type="cellIs" dxfId="291" priority="261" stopIfTrue="1" operator="equal">
      <formula>"J"</formula>
    </cfRule>
  </conditionalFormatting>
  <conditionalFormatting sqref="BF36 BF38 BF40 BF42 BF44 BF46 BF48 BF50 BF52 BF54">
    <cfRule type="cellIs" dxfId="290" priority="330" stopIfTrue="1" operator="equal">
      <formula>0</formula>
    </cfRule>
  </conditionalFormatting>
  <conditionalFormatting sqref="AM36 AM38 AM40 AM42 AM44 AM46 AM48 AM50 AM52 AM54">
    <cfRule type="cellIs" dxfId="289" priority="328" stopIfTrue="1" operator="equal">
      <formula>0</formula>
    </cfRule>
  </conditionalFormatting>
  <conditionalFormatting sqref="AJ36:AL36 AJ38:AL38 AJ40:AL40 AJ42:AL42 AJ44:AL44 AJ46:AL46 AJ48:AL48 AJ50:AL50 AJ52:AL52 AJ54:AL54">
    <cfRule type="cellIs" dxfId="288" priority="329" stopIfTrue="1" operator="equal">
      <formula>"J"</formula>
    </cfRule>
  </conditionalFormatting>
  <conditionalFormatting sqref="CM36 CM38 CM40 CM42 CM44 CM46 CM48 CM50 CM52 CM54">
    <cfRule type="cellIs" dxfId="287" priority="311" stopIfTrue="1" operator="equal">
      <formula>0</formula>
    </cfRule>
  </conditionalFormatting>
  <conditionalFormatting sqref="CJ36:CL36 CJ38:CL38 CJ40:CL40 CJ42:CL42 CJ44:CL44 CJ46:CL46 CJ48:CL48 CJ50:CL50 CJ52:CL52 CJ54:CL54">
    <cfRule type="cellIs" dxfId="286" priority="312" stopIfTrue="1" operator="equal">
      <formula>"J"</formula>
    </cfRule>
  </conditionalFormatting>
  <conditionalFormatting sqref="CV36 CV38 CV40 CV42 CV44 CV46 CV48 CV50 CV52 CV54">
    <cfRule type="cellIs" dxfId="285" priority="303" stopIfTrue="1" operator="equal">
      <formula>"J"</formula>
    </cfRule>
  </conditionalFormatting>
  <conditionalFormatting sqref="AI36 AI38 AI40 AI42 AI44 AI46 AI48 AI50 AI52 AI54">
    <cfRule type="cellIs" dxfId="284" priority="285" stopIfTrue="1" operator="equal">
      <formula>"J"</formula>
    </cfRule>
  </conditionalFormatting>
  <conditionalFormatting sqref="AU36 AU38 AU40 AU42 AU44 AU46 AU48 AU50 AU52 AU54">
    <cfRule type="cellIs" dxfId="283" priority="282" stopIfTrue="1" operator="equal">
      <formula>"J"</formula>
    </cfRule>
  </conditionalFormatting>
  <conditionalFormatting sqref="AX36 AX38 AX40 AX42 AX44 AX46 AX48 AX50 AX52 AX54">
    <cfRule type="cellIs" dxfId="282" priority="279" stopIfTrue="1" operator="equal">
      <formula>"J"</formula>
    </cfRule>
  </conditionalFormatting>
  <conditionalFormatting sqref="BA36 BA38 BA40 BA42 BA44 BA46 BA48 BA50 BA52 BA54">
    <cfRule type="cellIs" dxfId="281" priority="276" stopIfTrue="1" operator="equal">
      <formula>"J"</formula>
    </cfRule>
  </conditionalFormatting>
  <conditionalFormatting sqref="BN36 BN38 BN40 BN42 BN44 BN46 BN48 BN50 BN52 BN54">
    <cfRule type="cellIs" dxfId="280" priority="273" stopIfTrue="1" operator="equal">
      <formula>"J"</formula>
    </cfRule>
  </conditionalFormatting>
  <conditionalFormatting sqref="BZ36 BZ38 BZ40 BZ42 BZ44 BZ46 BZ48 BZ50 BZ52 BZ54">
    <cfRule type="cellIs" dxfId="279" priority="270" stopIfTrue="1" operator="equal">
      <formula>"J"</formula>
    </cfRule>
  </conditionalFormatting>
  <conditionalFormatting sqref="CC36 CC38 CC40 CC42 CC44 CC46 CC48 CC50 CC52 CC54">
    <cfRule type="cellIs" dxfId="278" priority="267" stopIfTrue="1" operator="equal">
      <formula>"J"</formula>
    </cfRule>
  </conditionalFormatting>
  <conditionalFormatting sqref="CF36 CF38 CF40 CF42 CF44 CF46 CF48 CF50 CF52 CF54">
    <cfRule type="cellIs" dxfId="277" priority="264" stopIfTrue="1" operator="equal">
      <formula>"J"</formula>
    </cfRule>
  </conditionalFormatting>
  <conditionalFormatting sqref="X36 X38 X40 X42 X44 X46 X48 X50 X52 X54">
    <cfRule type="cellIs" dxfId="276" priority="338" operator="equal">
      <formula>"J"</formula>
    </cfRule>
  </conditionalFormatting>
  <conditionalFormatting sqref="M36:N36 M38:N38 M40:N40 M42:N42 M44:N44 M46:N46 M48:N48 M50:N50 M52:N52 M54:N54">
    <cfRule type="cellIs" dxfId="275" priority="337" operator="equal">
      <formula>"J"</formula>
    </cfRule>
  </conditionalFormatting>
  <conditionalFormatting sqref="Y36:Z36 Y38:Z38 Y40:Z40 Y42:Z42 Y44:Z44 Y46:Z46 Y48:Z48 Y50:Z50 Y52:Z52 Y54:Z54">
    <cfRule type="cellIs" dxfId="274" priority="336" operator="equal">
      <formula>"J"</formula>
    </cfRule>
  </conditionalFormatting>
  <conditionalFormatting sqref="BG36 BG38 BG40 BG42 BG44 BG46 BG48 BG50 BG52 BG54">
    <cfRule type="cellIs" dxfId="273" priority="332" operator="equal">
      <formula>"J"</formula>
    </cfRule>
  </conditionalFormatting>
  <conditionalFormatting sqref="BH36 BH38 BH40 BH42 BH44 BH46 BH48 BH50 BH52 BH54">
    <cfRule type="cellIs" dxfId="272" priority="331" operator="equal">
      <formula>"J"</formula>
    </cfRule>
  </conditionalFormatting>
  <conditionalFormatting sqref="AO36 AO38 AO40 AO42 AO44 AO46 AO48 AO50 AO52 AO54">
    <cfRule type="cellIs" dxfId="271" priority="327" operator="equal">
      <formula>"J"</formula>
    </cfRule>
  </conditionalFormatting>
  <conditionalFormatting sqref="AP36 AP38 AP40 AP42 AP44 AP46 AP48 AP50 AP52 AP54">
    <cfRule type="cellIs" dxfId="270" priority="326" operator="equal">
      <formula>"J"</formula>
    </cfRule>
  </conditionalFormatting>
  <conditionalFormatting sqref="AN36 AN38 AN40 AN42 AN44 AN46 AN48 AN50 AN52 AN54">
    <cfRule type="cellIs" dxfId="269" priority="325" stopIfTrue="1" operator="equal">
      <formula>0</formula>
    </cfRule>
  </conditionalFormatting>
  <conditionalFormatting sqref="BV36 BV38 BV40 BV42 BV44 BV46 BV48 BV50 BV52 BV54">
    <cfRule type="cellIs" dxfId="268" priority="323" stopIfTrue="1" operator="equal">
      <formula>0</formula>
    </cfRule>
  </conditionalFormatting>
  <conditionalFormatting sqref="BR36:BU36 BR38:BU38 BR40:BU40 BR42:BU42 BR44:BU44 BR46:BU46 BR48:BU48 BR50:BU50 BR52:BU52 BR54:BU54">
    <cfRule type="cellIs" dxfId="267" priority="324" stopIfTrue="1" operator="equal">
      <formula>"J"</formula>
    </cfRule>
  </conditionalFormatting>
  <conditionalFormatting sqref="BX36 BX38 BX40 BX42 BX44 BX46 BX48 BX50 BX52 BX54">
    <cfRule type="cellIs" dxfId="266" priority="322" operator="equal">
      <formula>"J"</formula>
    </cfRule>
  </conditionalFormatting>
  <conditionalFormatting sqref="BY36 BY38 BY40 BY42 BY44 BY46 BY48 BY50 BY52 BY54">
    <cfRule type="cellIs" dxfId="265" priority="321" operator="equal">
      <formula>"J"</formula>
    </cfRule>
  </conditionalFormatting>
  <conditionalFormatting sqref="DG36 DG38 DG40 DG42 DG44 DG46 DG48 DG50 DG52 DG54">
    <cfRule type="cellIs" dxfId="264" priority="319" operator="equal">
      <formula>"J"</formula>
    </cfRule>
  </conditionalFormatting>
  <conditionalFormatting sqref="DH36 DH38 DH40 DH42 DH44 DH46 DH48 DH50 DH52 DH54">
    <cfRule type="cellIs" dxfId="263" priority="318" operator="equal">
      <formula>"J"</formula>
    </cfRule>
  </conditionalFormatting>
  <conditionalFormatting sqref="CP36 CP38 CP40 CP42 CP44 CP46 CP48 CP50 CP52 CP54">
    <cfRule type="cellIs" dxfId="262" priority="316" stopIfTrue="1" operator="equal">
      <formula>0</formula>
    </cfRule>
  </conditionalFormatting>
  <conditionalFormatting sqref="DJ36 DJ38 DJ40 DJ42 DJ44 DJ46 DJ48 DJ50 DJ52 DJ54">
    <cfRule type="cellIs" dxfId="261" priority="315" stopIfTrue="1" operator="equal">
      <formula>"J"</formula>
    </cfRule>
  </conditionalFormatting>
  <conditionalFormatting sqref="O36 O38 O40 O42 O44 O46 O48 O50 O52 O54">
    <cfRule type="cellIs" dxfId="260" priority="314" operator="equal">
      <formula>"J"</formula>
    </cfRule>
  </conditionalFormatting>
  <conditionalFormatting sqref="P36 P38 P40 P42 P44 P46 P48 P50 P52 P54">
    <cfRule type="cellIs" dxfId="259" priority="313" operator="equal">
      <formula>"J"</formula>
    </cfRule>
  </conditionalFormatting>
  <conditionalFormatting sqref="CO36 CO38 CO40 CO42 CO44 CO46 CO48 CO50 CO52 CO54">
    <cfRule type="cellIs" dxfId="258" priority="310" operator="equal">
      <formula>"J"</formula>
    </cfRule>
  </conditionalFormatting>
  <conditionalFormatting sqref="DE36 DE38 DE40 DE42 DE44 DE46 DE48 DE50 DE52 DE54">
    <cfRule type="cellIs" dxfId="257" priority="306" operator="equal">
      <formula>"J"</formula>
    </cfRule>
  </conditionalFormatting>
  <conditionalFormatting sqref="CU36 CU38 CU40 CU42 CU44 CU46 CU48 CU50 CU52 CU54">
    <cfRule type="cellIs" dxfId="256" priority="305" operator="equal">
      <formula>"J"</formula>
    </cfRule>
  </conditionalFormatting>
  <conditionalFormatting sqref="DI36 DI38 DI40 DI42 DI44 DI46 DI48 DI50 DI52 DI54">
    <cfRule type="cellIs" dxfId="255" priority="300" operator="equal">
      <formula>"J"</formula>
    </cfRule>
  </conditionalFormatting>
  <conditionalFormatting sqref="AB36 AB38 AB40 AB42 AB44 AB46 AB48 AB50 AB52 AB54">
    <cfRule type="cellIs" dxfId="254" priority="299" operator="equal">
      <formula>"J"</formula>
    </cfRule>
  </conditionalFormatting>
  <conditionalFormatting sqref="AG36 AG38 AG40 AG42 AG44 AG46 AG48 AG50 AG52 AG54">
    <cfRule type="cellIs" dxfId="253" priority="298" operator="equal">
      <formula>"J"</formula>
    </cfRule>
  </conditionalFormatting>
  <conditionalFormatting sqref="AS36 AS38 AS40 AS42 AS44 AS46 AS48 AS50 AS52 AS54">
    <cfRule type="cellIs" dxfId="252" priority="297" operator="equal">
      <formula>"J"</formula>
    </cfRule>
  </conditionalFormatting>
  <conditionalFormatting sqref="BI36 BI38 BI40 BI42 BI44 BI46 BI48 BI50 BI52 BI54">
    <cfRule type="cellIs" dxfId="251" priority="296" operator="equal">
      <formula>"J"</formula>
    </cfRule>
  </conditionalFormatting>
  <conditionalFormatting sqref="BL36 BL38 BL40 BL42 BL44 BL46 BL48 BL50 BL52 BL54">
    <cfRule type="cellIs" dxfId="250" priority="295" operator="equal">
      <formula>"J"</formula>
    </cfRule>
  </conditionalFormatting>
  <conditionalFormatting sqref="BQ36 BQ38 BQ40 BQ42 BQ44 BQ46 BQ48 BQ50 BQ52 BQ54">
    <cfRule type="cellIs" dxfId="249" priority="294" operator="equal">
      <formula>"J"</formula>
    </cfRule>
  </conditionalFormatting>
  <conditionalFormatting sqref="CS36 CS38 CS40 CS42 CS44 CS46 CS48 CS50 CS52 CS54">
    <cfRule type="cellIs" dxfId="248" priority="293" operator="equal">
      <formula>"J"</formula>
    </cfRule>
  </conditionalFormatting>
  <conditionalFormatting sqref="CT36 CT38 CT40 CT42 CT44 CT46 CT48 CT50 CT52 CT54">
    <cfRule type="cellIs" dxfId="247" priority="292" operator="equal">
      <formula>"J"</formula>
    </cfRule>
  </conditionalFormatting>
  <conditionalFormatting sqref="CI36 CI38 CI40 CI42 CI44 CI46 CI48 CI50 CI52 CI54">
    <cfRule type="cellIs" dxfId="246" priority="291" operator="equal">
      <formula>"J"</formula>
    </cfRule>
  </conditionalFormatting>
  <conditionalFormatting sqref="AC36 AC38 AC40 AC42 AC44 AC46 AC48 AC50 AC52 AC54">
    <cfRule type="cellIs" dxfId="245" priority="290" operator="equal">
      <formula>"J"</formula>
    </cfRule>
  </conditionalFormatting>
  <conditionalFormatting sqref="AD36 AD38 AD40 AD42 AD44 AD46 AD48 AD50 AD52 AD54">
    <cfRule type="cellIs" dxfId="244" priority="289" operator="equal">
      <formula>"J"</formula>
    </cfRule>
  </conditionalFormatting>
  <conditionalFormatting sqref="AE36 AE38 AE40 AE42 AE44 AE46 AE48 AE50 AE52 AE54">
    <cfRule type="cellIs" dxfId="243" priority="288" operator="equal">
      <formula>"J"</formula>
    </cfRule>
  </conditionalFormatting>
  <conditionalFormatting sqref="CR36 CR38 CR40 CR42 CR44 CR46 CR48 CR50 CR52 CR54">
    <cfRule type="cellIs" dxfId="242" priority="260" stopIfTrue="1" operator="equal">
      <formula>"J"</formula>
    </cfRule>
  </conditionalFormatting>
  <conditionalFormatting sqref="DK36 DK38 DK40 DK42 DK44 DK46 DK48 DK50 DK52 DK54">
    <cfRule type="cellIs" dxfId="241" priority="258" stopIfTrue="1" operator="equal">
      <formula>"J"</formula>
    </cfRule>
  </conditionalFormatting>
  <conditionalFormatting sqref="AA36 AA38 AA40 AA42 AA44 AA46 AA48 AA50 AA52 AA54">
    <cfRule type="cellIs" dxfId="240" priority="257" stopIfTrue="1" operator="equal">
      <formula>"J"</formula>
    </cfRule>
  </conditionalFormatting>
  <conditionalFormatting sqref="AM37 AM39 AM41 AM43 AM45 AM47 AM49 AM51 AM53 AM55">
    <cfRule type="cellIs" dxfId="239" priority="244" stopIfTrue="1" operator="equal">
      <formula>0</formula>
    </cfRule>
  </conditionalFormatting>
  <conditionalFormatting sqref="AJ37:AL37 AJ39:AL39 AJ41:AL41 AJ43:AL43 AJ45:AL45 AJ47:AL47 AJ49:AL49 AJ51:AL51 AJ53:AL53 AJ55:AL55">
    <cfRule type="cellIs" dxfId="238" priority="245" stopIfTrue="1" operator="equal">
      <formula>"J"</formula>
    </cfRule>
  </conditionalFormatting>
  <conditionalFormatting sqref="AN37 AN39 AN41 AN43 AN45 AN47 AN49 AN51 AN53 AN55">
    <cfRule type="cellIs" dxfId="237" priority="241" stopIfTrue="1" operator="equal">
      <formula>0</formula>
    </cfRule>
  </conditionalFormatting>
  <conditionalFormatting sqref="CP37 CP39 CP41 CP43 CP45 CP47 CP49 CP51 CP53 CP55">
    <cfRule type="cellIs" dxfId="236" priority="232" stopIfTrue="1" operator="equal">
      <formula>0</formula>
    </cfRule>
  </conditionalFormatting>
  <conditionalFormatting sqref="CM37 CM39 CM41 CM43 CM45 CM47 CM49 CM51 CM53 CM55">
    <cfRule type="cellIs" dxfId="235" priority="227" stopIfTrue="1" operator="equal">
      <formula>0</formula>
    </cfRule>
  </conditionalFormatting>
  <conditionalFormatting sqref="CJ37:CL37 CJ39:CL39 CJ41:CL41 CJ43:CL43 CJ45:CL45 CJ47:CL47 CJ49:CL49 CJ51:CL51 CJ53:CL53 CJ55:CL55">
    <cfRule type="cellIs" dxfId="234" priority="228" stopIfTrue="1" operator="equal">
      <formula>"J"</formula>
    </cfRule>
  </conditionalFormatting>
  <conditionalFormatting sqref="CB37 CB39 CB41 CB43 CB45 CB47 CB49 CB51 CB53 CB55">
    <cfRule type="cellIs" dxfId="233" priority="184" stopIfTrue="1" operator="equal">
      <formula>"J"</formula>
    </cfRule>
  </conditionalFormatting>
  <conditionalFormatting sqref="W37 W39 W41 W43 W45 W47 W49 W51 W53 W55">
    <cfRule type="cellIs" dxfId="232" priority="251" stopIfTrue="1" operator="equal">
      <formula>0</formula>
    </cfRule>
  </conditionalFormatting>
  <conditionalFormatting sqref="BV37 BV39 BV41 BV43 BV45 BV47 BV49 BV51 BV53 BV55">
    <cfRule type="cellIs" dxfId="231" priority="239" stopIfTrue="1" operator="equal">
      <formula>0</formula>
    </cfRule>
  </conditionalFormatting>
  <conditionalFormatting sqref="BR37:BU37 BR39:BU39 BR41:BU41 BR43:BU43 BR45:BU45 BR47:BU47 BR49:BU49 BR51:BU51 BR53:BU53 BR55:BU55">
    <cfRule type="cellIs" dxfId="230" priority="240" stopIfTrue="1" operator="equal">
      <formula>"J"</formula>
    </cfRule>
  </conditionalFormatting>
  <conditionalFormatting sqref="BW37 BW39 BW41 BW43 BW45 BW47 BW49 BW51 BW53 BW55">
    <cfRule type="cellIs" dxfId="229" priority="236" stopIfTrue="1" operator="equal">
      <formula>0</formula>
    </cfRule>
  </conditionalFormatting>
  <conditionalFormatting sqref="DF37 DF39 DF41 DF43 DF45 DF47 DF49 DF51 DF53 DF55">
    <cfRule type="cellIs" dxfId="228" priority="233" stopIfTrue="1" operator="equal">
      <formula>0</formula>
    </cfRule>
  </conditionalFormatting>
  <conditionalFormatting sqref="DJ37 DJ39 DJ41 DJ43 DJ45 DJ47 DJ49 DJ51 DJ53 DJ55">
    <cfRule type="cellIs" dxfId="227" priority="231" stopIfTrue="1" operator="equal">
      <formula>"J"</formula>
    </cfRule>
  </conditionalFormatting>
  <conditionalFormatting sqref="CW37 CW39 CW41 CW43 CW45 CW47 CW49 CW51 CW53 CW55">
    <cfRule type="cellIs" dxfId="226" priority="218" stopIfTrue="1" operator="equal">
      <formula>"J"</formula>
    </cfRule>
  </conditionalFormatting>
  <conditionalFormatting sqref="AF37 AF39 AF41 AF43 AF45 AF47 AF49 AF51 AF53 AF55">
    <cfRule type="cellIs" dxfId="225" priority="203" stopIfTrue="1" operator="equal">
      <formula>"J"</formula>
    </cfRule>
  </conditionalFormatting>
  <conditionalFormatting sqref="AR37 AR39 AR41 AR43 AR45 AR47 AR49 AR51 AR53 AR55">
    <cfRule type="cellIs" dxfId="224" priority="200" stopIfTrue="1" operator="equal">
      <formula>"J"</formula>
    </cfRule>
  </conditionalFormatting>
  <conditionalFormatting sqref="AV37 AV39 AV41 AV43 AV45 AV47 AV49 AV51 AV53 AV55">
    <cfRule type="cellIs" dxfId="223" priority="197" stopIfTrue="1" operator="equal">
      <formula>"J"</formula>
    </cfRule>
  </conditionalFormatting>
  <conditionalFormatting sqref="AY37 AY39 AY41 AY43 AY45 AY47 AY49 AY51 AY53 AY55">
    <cfRule type="cellIs" dxfId="222" priority="194" stopIfTrue="1" operator="equal">
      <formula>"J"</formula>
    </cfRule>
  </conditionalFormatting>
  <conditionalFormatting sqref="BJ37 BJ39 BJ41 BJ43 BJ45 BJ47 BJ49 BJ51 BJ53 BJ55">
    <cfRule type="cellIs" dxfId="221" priority="191" stopIfTrue="1" operator="equal">
      <formula>"J"</formula>
    </cfRule>
  </conditionalFormatting>
  <conditionalFormatting sqref="BO37 BO39 BO41 BO43 BO45 BO47 BO49 BO51 BO53 BO55">
    <cfRule type="cellIs" dxfId="220" priority="188" stopIfTrue="1" operator="equal">
      <formula>"J"</formula>
    </cfRule>
  </conditionalFormatting>
  <conditionalFormatting sqref="CA37 CA39 CA41 CA43 CA45 CA47 CA49 CA51 CA53 CA55">
    <cfRule type="cellIs" dxfId="219" priority="185" stopIfTrue="1" operator="equal">
      <formula>"J"</formula>
    </cfRule>
  </conditionalFormatting>
  <conditionalFormatting sqref="CD37 CD39 CD41 CD43 CD45 CD47 CD49 CD51 CD53 CD55">
    <cfRule type="cellIs" dxfId="218" priority="182" stopIfTrue="1" operator="equal">
      <formula>"J"</formula>
    </cfRule>
  </conditionalFormatting>
  <conditionalFormatting sqref="CG37 CG39 CG41 CG43 CG45 CG47 CG49 CG51 CG53 CG55">
    <cfRule type="cellIs" dxfId="217" priority="179" stopIfTrue="1" operator="equal">
      <formula>"J"</formula>
    </cfRule>
  </conditionalFormatting>
  <conditionalFormatting sqref="CQ37 CQ39 CQ41 CQ43 CQ45 CQ47 CQ49 CQ51 CQ53 CQ55">
    <cfRule type="cellIs" dxfId="216" priority="177" stopIfTrue="1" operator="equal">
      <formula>"J"</formula>
    </cfRule>
  </conditionalFormatting>
  <conditionalFormatting sqref="X37 X39 X41 X43 X45 X47 X49 X51 X53 X55">
    <cfRule type="cellIs" dxfId="215" priority="254" operator="equal">
      <formula>"J"</formula>
    </cfRule>
  </conditionalFormatting>
  <conditionalFormatting sqref="M37:N37 M39:N39 M41:N41 M43:N43 M45:N45 M47:N47 M49:N49 M51:N51 M53:N53 M55:N55">
    <cfRule type="cellIs" dxfId="214" priority="253" operator="equal">
      <formula>"J"</formula>
    </cfRule>
  </conditionalFormatting>
  <conditionalFormatting sqref="Y37:Z37 Y39:Z39 Y41:Z41 Y43:Z43 Y45:Z45 Y47:Z47 Y49:Z49 Y51:Z51 Y53:Z53 Y55:Z55">
    <cfRule type="cellIs" dxfId="213" priority="252" operator="equal">
      <formula>"J"</formula>
    </cfRule>
  </conditionalFormatting>
  <conditionalFormatting sqref="BG37 BG39 BG41 BG43 BG45 BG47 BG49 BG51 BG53 BG55">
    <cfRule type="cellIs" dxfId="212" priority="248" operator="equal">
      <formula>"J"</formula>
    </cfRule>
  </conditionalFormatting>
  <conditionalFormatting sqref="BH37 BH39 BH41 BH43 BH45 BH47 BH49 BH51 BH53 BH55">
    <cfRule type="cellIs" dxfId="211" priority="247" operator="equal">
      <formula>"J"</formula>
    </cfRule>
  </conditionalFormatting>
  <conditionalFormatting sqref="AO37 AO39 AO41 AO43 AO45 AO47 AO49 AO51 AO53 AO55">
    <cfRule type="cellIs" dxfId="210" priority="243" operator="equal">
      <formula>"J"</formula>
    </cfRule>
  </conditionalFormatting>
  <conditionalFormatting sqref="AP37 AP39 AP41 AP43 AP45 AP47 AP49 AP51 AP53 AP55">
    <cfRule type="cellIs" dxfId="209" priority="242" operator="equal">
      <formula>"J"</formula>
    </cfRule>
  </conditionalFormatting>
  <conditionalFormatting sqref="BX37 BX39 BX41 BX43 BX45 BX47 BX49 BX51 BX53 BX55">
    <cfRule type="cellIs" dxfId="208" priority="238" operator="equal">
      <formula>"J"</formula>
    </cfRule>
  </conditionalFormatting>
  <conditionalFormatting sqref="BY37 BY39 BY41 BY43 BY45 BY47 BY49 BY51 BY53 BY55">
    <cfRule type="cellIs" dxfId="207" priority="237" operator="equal">
      <formula>"J"</formula>
    </cfRule>
  </conditionalFormatting>
  <conditionalFormatting sqref="DG37 DG39 DG41 DG43 DG45 DG47 DG49 DG51 DG53 DG55">
    <cfRule type="cellIs" dxfId="206" priority="235" operator="equal">
      <formula>"J"</formula>
    </cfRule>
  </conditionalFormatting>
  <conditionalFormatting sqref="DH37 DH39 DH41 DH43 DH45 DH47 DH49 DH51 DH53 DH55">
    <cfRule type="cellIs" dxfId="205" priority="234" operator="equal">
      <formula>"J"</formula>
    </cfRule>
  </conditionalFormatting>
  <conditionalFormatting sqref="O37 O39 O41 O43 O45 O47 O49 O51 O53 O55">
    <cfRule type="cellIs" dxfId="204" priority="230" operator="equal">
      <formula>"J"</formula>
    </cfRule>
  </conditionalFormatting>
  <conditionalFormatting sqref="P37 P39 P41 P43 P45 P47 P49 P51 P53 P55">
    <cfRule type="cellIs" dxfId="203" priority="229" operator="equal">
      <formula>"J"</formula>
    </cfRule>
  </conditionalFormatting>
  <conditionalFormatting sqref="CV37 CV39 CV41 CV43 CV45 CV47 CV49 CV51 CV53 CV55">
    <cfRule type="cellIs" dxfId="202" priority="219" stopIfTrue="1" operator="equal">
      <formula>"J"</formula>
    </cfRule>
  </conditionalFormatting>
  <conditionalFormatting sqref="CO37 CO39 CO41 CO43 CO45 CO47 CO49 CO51 CO53 CO55">
    <cfRule type="cellIs" dxfId="201" priority="226" operator="equal">
      <formula>"J"</formula>
    </cfRule>
  </conditionalFormatting>
  <conditionalFormatting sqref="DC37 DC39 DC41 DC43 DC45 DC47 DC49 DC51 DC53 DC55">
    <cfRule type="cellIs" dxfId="200" priority="223" stopIfTrue="1" operator="equal">
      <formula>0</formula>
    </cfRule>
  </conditionalFormatting>
  <conditionalFormatting sqref="CY37:DB37 CY39:DB39 CY41:DB41 CY43:DB43 CY45:DB45 CY47:DB47 CY49:DB49 CY51:DB51 CY53:DB53 CY55:DB55">
    <cfRule type="cellIs" dxfId="199" priority="224" stopIfTrue="1" operator="equal">
      <formula>"J"</formula>
    </cfRule>
  </conditionalFormatting>
  <conditionalFormatting sqref="DE37 DE39 DE41 DE43 DE45 DE47 DE49 DE51 DE53 DE55">
    <cfRule type="cellIs" dxfId="198" priority="222" operator="equal">
      <formula>"J"</formula>
    </cfRule>
  </conditionalFormatting>
  <conditionalFormatting sqref="CU37 CU39 CU41 CU43 CU45 CU47 CU49 CU51 CU53 CU55">
    <cfRule type="cellIs" dxfId="197" priority="221" operator="equal">
      <formula>"J"</formula>
    </cfRule>
  </conditionalFormatting>
  <conditionalFormatting sqref="DD37 DD39 DD41 DD43 DD45 DD47 DD49 DD51 DD53 DD55">
    <cfRule type="cellIs" dxfId="196" priority="220" stopIfTrue="1" operator="equal">
      <formula>0</formula>
    </cfRule>
  </conditionalFormatting>
  <conditionalFormatting sqref="DI37 DI39 DI41 DI43 DI45 DI47 DI49 DI51 DI53 DI55">
    <cfRule type="cellIs" dxfId="195" priority="216" operator="equal">
      <formula>"J"</formula>
    </cfRule>
  </conditionalFormatting>
  <conditionalFormatting sqref="AB37 AB39 AB41 AB43 AB45 AB47 AB49 AB51 AB53 AB55">
    <cfRule type="cellIs" dxfId="194" priority="215" operator="equal">
      <formula>"J"</formula>
    </cfRule>
  </conditionalFormatting>
  <conditionalFormatting sqref="AG37 AG39 AG41 AG43 AG45 AG47 AG49 AG51 AG53 AG55">
    <cfRule type="cellIs" dxfId="193" priority="214" operator="equal">
      <formula>"J"</formula>
    </cfRule>
  </conditionalFormatting>
  <conditionalFormatting sqref="AS37 AS39 AS41 AS43 AS45 AS47 AS49 AS51 AS53 AS55">
    <cfRule type="cellIs" dxfId="192" priority="213" operator="equal">
      <formula>"J"</formula>
    </cfRule>
  </conditionalFormatting>
  <conditionalFormatting sqref="BI37 BI39 BI41 BI43 BI45 BI47 BI49 BI51 BI53 BI55">
    <cfRule type="cellIs" dxfId="191" priority="212" operator="equal">
      <formula>"J"</formula>
    </cfRule>
  </conditionalFormatting>
  <conditionalFormatting sqref="BL37 BL39 BL41 BL43 BL45 BL47 BL49 BL51 BL53 BL55">
    <cfRule type="cellIs" dxfId="190" priority="211" operator="equal">
      <formula>"J"</formula>
    </cfRule>
  </conditionalFormatting>
  <conditionalFormatting sqref="BQ37 BQ39 BQ41 BQ43 BQ45 BQ47 BQ49 BQ51 BQ53 BQ55">
    <cfRule type="cellIs" dxfId="189" priority="210" operator="equal">
      <formula>"J"</formula>
    </cfRule>
  </conditionalFormatting>
  <conditionalFormatting sqref="CS37 CS39 CS41 CS43 CS45 CS47 CS49 CS51 CS53 CS55">
    <cfRule type="cellIs" dxfId="188" priority="209" operator="equal">
      <formula>"J"</formula>
    </cfRule>
  </conditionalFormatting>
  <conditionalFormatting sqref="CT37 CT39 CT41 CT43 CT45 CT47 CT49 CT51 CT53 CT55">
    <cfRule type="cellIs" dxfId="187" priority="208" operator="equal">
      <formula>"J"</formula>
    </cfRule>
  </conditionalFormatting>
  <conditionalFormatting sqref="CI37 CI39 CI41 CI43 CI45 CI47 CI49 CI51 CI53 CI55">
    <cfRule type="cellIs" dxfId="186" priority="207" operator="equal">
      <formula>"J"</formula>
    </cfRule>
  </conditionalFormatting>
  <conditionalFormatting sqref="AC37 AC39 AC41 AC43 AC45 AC47 AC49 AC51 AC53 AC55">
    <cfRule type="cellIs" dxfId="185" priority="206" operator="equal">
      <formula>"J"</formula>
    </cfRule>
  </conditionalFormatting>
  <conditionalFormatting sqref="AD37 AD39 AD41 AD43 AD45 AD47 AD49 AD51 AD53 AD55">
    <cfRule type="cellIs" dxfId="184" priority="205" operator="equal">
      <formula>"J"</formula>
    </cfRule>
  </conditionalFormatting>
  <conditionalFormatting sqref="AE37 AE39 AE41 AE43 AE45 AE47 AE49 AE51 AE53 AE55">
    <cfRule type="cellIs" dxfId="183" priority="204" operator="equal">
      <formula>"J"</formula>
    </cfRule>
  </conditionalFormatting>
  <conditionalFormatting sqref="AI37 AI39 AI41 AI43 AI45 AI47 AI49 AI51 AI53 AI55">
    <cfRule type="cellIs" dxfId="182" priority="201" stopIfTrue="1" operator="equal">
      <formula>"J"</formula>
    </cfRule>
  </conditionalFormatting>
  <conditionalFormatting sqref="AU37 AU39 AU41 AU43 AU45 AU47 AU49 AU51 AU53 AU55">
    <cfRule type="cellIs" dxfId="181" priority="198" stopIfTrue="1" operator="equal">
      <formula>"J"</formula>
    </cfRule>
  </conditionalFormatting>
  <conditionalFormatting sqref="AX37 AX39 AX41 AX43 AX45 AX47 AX49 AX51 AX53 AX55">
    <cfRule type="cellIs" dxfId="180" priority="195" stopIfTrue="1" operator="equal">
      <formula>"J"</formula>
    </cfRule>
  </conditionalFormatting>
  <conditionalFormatting sqref="BA37 BA39 BA41 BA43 BA45 BA47 BA49 BA51 BA53 BA55">
    <cfRule type="cellIs" dxfId="179" priority="192" stopIfTrue="1" operator="equal">
      <formula>"J"</formula>
    </cfRule>
  </conditionalFormatting>
  <conditionalFormatting sqref="BN37 BN39 BN41 BN43 BN45 BN47 BN49 BN51 BN53 BN55">
    <cfRule type="cellIs" dxfId="178" priority="189" stopIfTrue="1" operator="equal">
      <formula>"J"</formula>
    </cfRule>
  </conditionalFormatting>
  <conditionalFormatting sqref="BZ37 BZ39 BZ41 BZ43 BZ45 BZ47 BZ49 BZ51 BZ53 BZ55">
    <cfRule type="cellIs" dxfId="177" priority="186" stopIfTrue="1" operator="equal">
      <formula>"J"</formula>
    </cfRule>
  </conditionalFormatting>
  <conditionalFormatting sqref="CC37 CC39 CC41 CC43 CC45 CC47 CC49 CC51 CC53 CC55">
    <cfRule type="cellIs" dxfId="176" priority="183" stopIfTrue="1" operator="equal">
      <formula>"J"</formula>
    </cfRule>
  </conditionalFormatting>
  <conditionalFormatting sqref="CF37 CF39 CF41 CF43 CF45 CF47 CF49 CF51 CF53 CF55">
    <cfRule type="cellIs" dxfId="175" priority="180" stopIfTrue="1" operator="equal">
      <formula>"J"</formula>
    </cfRule>
  </conditionalFormatting>
  <conditionalFormatting sqref="CR37 CR39 CR41 CR43 CR45 CR47 CR49 CR51 CR53 CR55">
    <cfRule type="cellIs" dxfId="174" priority="176" stopIfTrue="1" operator="equal">
      <formula>"J"</formula>
    </cfRule>
  </conditionalFormatting>
  <conditionalFormatting sqref="DK37 DK39 DK41 DK43 DK45 DK47 DK49 DK51 DK53 DK55">
    <cfRule type="cellIs" dxfId="173" priority="174" stopIfTrue="1" operator="equal">
      <formula>"J"</formula>
    </cfRule>
  </conditionalFormatting>
  <conditionalFormatting sqref="AA37 AA39 AA41 AA43 AA45 AA47 AA49 AA51 AA53 AA55">
    <cfRule type="cellIs" dxfId="172" priority="173" stopIfTrue="1" operator="equal">
      <formula>"J"</formula>
    </cfRule>
  </conditionalFormatting>
  <conditionalFormatting sqref="K37 K39 K41 K43 K45 K47 K49 K51 K53 K55">
    <cfRule type="cellIs" dxfId="171" priority="171" stopIfTrue="1" operator="equal">
      <formula>"J"</formula>
    </cfRule>
  </conditionalFormatting>
  <conditionalFormatting sqref="K36 K38 K40 K42 K44 K46 K48 K50 K52 K54">
    <cfRule type="cellIs" dxfId="170" priority="172" stopIfTrue="1" operator="equal">
      <formula>"J"</formula>
    </cfRule>
  </conditionalFormatting>
  <conditionalFormatting sqref="DD8 DD10 DD12 DD14 DD16 DD18 DD20 DD22">
    <cfRule type="cellIs" dxfId="169" priority="134" stopIfTrue="1" operator="equal">
      <formula>0</formula>
    </cfRule>
  </conditionalFormatting>
  <conditionalFormatting sqref="CX8 CX10 CX12 CX14 CX16 CX18 CX20 CX22">
    <cfRule type="cellIs" dxfId="168" priority="131" stopIfTrue="1" operator="equal">
      <formula>"J"</formula>
    </cfRule>
  </conditionalFormatting>
  <conditionalFormatting sqref="AH8 AH10 AH12 AH14 AH16 AH18 AH20 AH22">
    <cfRule type="cellIs" dxfId="167" priority="116" stopIfTrue="1" operator="equal">
      <formula>"J"</formula>
    </cfRule>
  </conditionalFormatting>
  <conditionalFormatting sqref="AT8 AT10 AT12 AT14 AT16 AT18 AT20 AT22">
    <cfRule type="cellIs" dxfId="166" priority="113" stopIfTrue="1" operator="equal">
      <formula>"J"</formula>
    </cfRule>
  </conditionalFormatting>
  <conditionalFormatting sqref="AW8 AW10 AW12 AW14 AW16 AW18 AW20 AW22">
    <cfRule type="cellIs" dxfId="165" priority="110" stopIfTrue="1" operator="equal">
      <formula>"J"</formula>
    </cfRule>
  </conditionalFormatting>
  <conditionalFormatting sqref="AZ8 AZ10 AZ12 AZ14 AZ16 AZ18 AZ20 AZ22">
    <cfRule type="cellIs" dxfId="164" priority="107" stopIfTrue="1" operator="equal">
      <formula>"J"</formula>
    </cfRule>
  </conditionalFormatting>
  <conditionalFormatting sqref="BM8 BM10 BM12 BM14 BM16 BM18 BM20 BM22">
    <cfRule type="cellIs" dxfId="163" priority="104" stopIfTrue="1" operator="equal">
      <formula>"J"</formula>
    </cfRule>
  </conditionalFormatting>
  <conditionalFormatting sqref="BP8 BP10 BP12 BP14 BP16 BP18 BP20 BP22">
    <cfRule type="cellIs" dxfId="162" priority="101" stopIfTrue="1" operator="equal">
      <formula>"J"</formula>
    </cfRule>
  </conditionalFormatting>
  <conditionalFormatting sqref="CB8 CB10 CB12 CB14 CB16 CB18 CB20 CB22">
    <cfRule type="cellIs" dxfId="161" priority="98" stopIfTrue="1" operator="equal">
      <formula>"J"</formula>
    </cfRule>
  </conditionalFormatting>
  <conditionalFormatting sqref="CE8 CE10 CE12 CE14 CE16 CE18 CE20 CE22">
    <cfRule type="cellIs" dxfId="160" priority="95" stopIfTrue="1" operator="equal">
      <formula>"J"</formula>
    </cfRule>
  </conditionalFormatting>
  <conditionalFormatting sqref="CH8 CH10 CH12 CH14 CH16 CH18 CH20 CH22">
    <cfRule type="cellIs" dxfId="159" priority="92" stopIfTrue="1" operator="equal">
      <formula>"J"</formula>
    </cfRule>
  </conditionalFormatting>
  <conditionalFormatting sqref="BK8 BK10 BK12 BK14 BK16 BK18 BK20 BK22">
    <cfRule type="cellIs" dxfId="158" priority="89" stopIfTrue="1" operator="equal">
      <formula>"J"</formula>
    </cfRule>
  </conditionalFormatting>
  <conditionalFormatting sqref="AQ9 AQ11 AQ13 AQ15 AQ17 AQ19 AQ21 AQ23 V9 V11 V13 V15 V17 V19 V21 V23">
    <cfRule type="cellIs" dxfId="157" priority="85" stopIfTrue="1" operator="equal">
      <formula>0</formula>
    </cfRule>
  </conditionalFormatting>
  <conditionalFormatting sqref="J9 J11 J13 J15 J17 J19 J21 J23 Q9:U9 Q11:U11 Q13:U13 Q15:U15 Q17:U17 Q19:U19 Q21:U21 Q23:U23 L9 L11 L13 L15 L17 L19 L21 L23">
    <cfRule type="cellIs" dxfId="156" priority="86" stopIfTrue="1" operator="equal">
      <formula>"J"</formula>
    </cfRule>
  </conditionalFormatting>
  <conditionalFormatting sqref="BE9 BE11 BE13 BE15 BE17 BE19 BE21 BE23">
    <cfRule type="cellIs" dxfId="155" priority="79" stopIfTrue="1" operator="equal">
      <formula>0</formula>
    </cfRule>
  </conditionalFormatting>
  <conditionalFormatting sqref="BB9:BD9 BB11:BD11 BB13:BD13 BB15:BD15 BB17:BD17 BB19:BD19 BB21:BD21 BB23:BD23">
    <cfRule type="cellIs" dxfId="154" priority="80" stopIfTrue="1" operator="equal">
      <formula>"J"</formula>
    </cfRule>
  </conditionalFormatting>
  <conditionalFormatting sqref="BF9 BF11 BF13 BF15 BF17 BF19 BF21 BF23">
    <cfRule type="cellIs" dxfId="153" priority="76" stopIfTrue="1" operator="equal">
      <formula>0</formula>
    </cfRule>
  </conditionalFormatting>
  <conditionalFormatting sqref="CN9 CN11 CN13 CN15 CN17 CN19 CN21 CN23">
    <cfRule type="cellIs" dxfId="152" priority="55" stopIfTrue="1" operator="equal">
      <formula>0</formula>
    </cfRule>
  </conditionalFormatting>
  <conditionalFormatting sqref="CX9 CX11 CX13 CX15 CX17 CX19 CX21 CX23">
    <cfRule type="cellIs" dxfId="151" priority="47" stopIfTrue="1" operator="equal">
      <formula>"J"</formula>
    </cfRule>
  </conditionalFormatting>
  <conditionalFormatting sqref="AH9 AH11 AH13 AH15 AH17 AH19 AH21 AH23">
    <cfRule type="cellIs" dxfId="150" priority="32" stopIfTrue="1" operator="equal">
      <formula>"J"</formula>
    </cfRule>
  </conditionalFormatting>
  <conditionalFormatting sqref="AT9 AT11 AT13 AT15 AT17 AT19 AT21 AT23">
    <cfRule type="cellIs" dxfId="149" priority="29" stopIfTrue="1" operator="equal">
      <formula>"J"</formula>
    </cfRule>
  </conditionalFormatting>
  <conditionalFormatting sqref="AW9 AW11 AW13 AW15 AW17 AW19 AW21 AW23">
    <cfRule type="cellIs" dxfId="148" priority="26" stopIfTrue="1" operator="equal">
      <formula>"J"</formula>
    </cfRule>
  </conditionalFormatting>
  <conditionalFormatting sqref="AZ9 AZ11 AZ13 AZ15 AZ17 AZ19 AZ21 AZ23">
    <cfRule type="cellIs" dxfId="147" priority="23" stopIfTrue="1" operator="equal">
      <formula>"J"</formula>
    </cfRule>
  </conditionalFormatting>
  <conditionalFormatting sqref="BM9 BM11 BM13 BM15 BM17 BM19 BM21 BM23">
    <cfRule type="cellIs" dxfId="146" priority="20" stopIfTrue="1" operator="equal">
      <formula>"J"</formula>
    </cfRule>
  </conditionalFormatting>
  <conditionalFormatting sqref="BP9 BP11 BP13 BP15 BP17 BP19 BP21 BP23">
    <cfRule type="cellIs" dxfId="145" priority="17" stopIfTrue="1" operator="equal">
      <formula>"J"</formula>
    </cfRule>
  </conditionalFormatting>
  <conditionalFormatting sqref="CE9 CE11 CE13 CE15 CE17 CE19 CE21 CE23">
    <cfRule type="cellIs" dxfId="144" priority="11" stopIfTrue="1" operator="equal">
      <formula>"J"</formula>
    </cfRule>
  </conditionalFormatting>
  <conditionalFormatting sqref="CH9 CH11 CH13 CH15 CH17 CH19 CH21 CH23">
    <cfRule type="cellIs" dxfId="143" priority="8" stopIfTrue="1" operator="equal">
      <formula>"J"</formula>
    </cfRule>
  </conditionalFormatting>
  <conditionalFormatting sqref="BK9 BK11 BK13 BK15 BK17 BK19 BK21 BK23">
    <cfRule type="cellIs" dxfId="142" priority="5" stopIfTrue="1" operator="equal">
      <formula>"J"</formula>
    </cfRule>
  </conditionalFormatting>
  <conditionalFormatting sqref="AQ8 AQ10 AQ12 AQ14 AQ16 AQ18 AQ20 AQ22 V8 V10 V12 V14 V16 V18 V20 V22">
    <cfRule type="cellIs" dxfId="141" priority="169" stopIfTrue="1" operator="equal">
      <formula>0</formula>
    </cfRule>
  </conditionalFormatting>
  <conditionalFormatting sqref="J8 J10 J12 J14 J16 J18 J20 J22 Q8:U8 Q10:U10 Q12:U12 Q14:U14 Q16:U16 Q18:U18 Q20:U20 Q22:U22 L8 L10 L12 L14 L16 L18 L20 L22">
    <cfRule type="cellIs" dxfId="140" priority="170" stopIfTrue="1" operator="equal">
      <formula>"J"</formula>
    </cfRule>
  </conditionalFormatting>
  <conditionalFormatting sqref="W8 W10 W12 W14 W16 W18 W20 W22">
    <cfRule type="cellIs" dxfId="139" priority="165" stopIfTrue="1" operator="equal">
      <formula>0</formula>
    </cfRule>
  </conditionalFormatting>
  <conditionalFormatting sqref="BE8 BE10 BE12 BE14 BE16 BE18 BE20 BE22">
    <cfRule type="cellIs" dxfId="138" priority="163" stopIfTrue="1" operator="equal">
      <formula>0</formula>
    </cfRule>
  </conditionalFormatting>
  <conditionalFormatting sqref="BB8:BD8 BB10:BD10 BB12:BD12 BB14:BD14 BB16:BD16 BB18:BD18 BB20:BD20 BB22:BD22">
    <cfRule type="cellIs" dxfId="137" priority="164" stopIfTrue="1" operator="equal">
      <formula>"J"</formula>
    </cfRule>
  </conditionalFormatting>
  <conditionalFormatting sqref="BW8 BW10 BW12 BW14 BW16 BW18 BW20 BW22">
    <cfRule type="cellIs" dxfId="136" priority="150" stopIfTrue="1" operator="equal">
      <formula>0</formula>
    </cfRule>
  </conditionalFormatting>
  <conditionalFormatting sqref="DF8 DF10 DF12 DF14 DF16 DF18 DF20 DF22">
    <cfRule type="cellIs" dxfId="135" priority="147" stopIfTrue="1" operator="equal">
      <formula>0</formula>
    </cfRule>
  </conditionalFormatting>
  <conditionalFormatting sqref="CN8 CN10 CN12 CN14 CN16 CN18 CN20 CN22">
    <cfRule type="cellIs" dxfId="134" priority="139" stopIfTrue="1" operator="equal">
      <formula>0</formula>
    </cfRule>
  </conditionalFormatting>
  <conditionalFormatting sqref="DC8 DC10 DC12 DC14 DC16 DC18 DC20 DC22">
    <cfRule type="cellIs" dxfId="133" priority="137" stopIfTrue="1" operator="equal">
      <formula>0</formula>
    </cfRule>
  </conditionalFormatting>
  <conditionalFormatting sqref="CY8:DB8 CY10:DB10 CY12:DB12 CY14:DB14 CY16:DB16 CY18:DB18 CY20:DB20 CY22:DB22">
    <cfRule type="cellIs" dxfId="132" priority="138" stopIfTrue="1" operator="equal">
      <formula>"J"</formula>
    </cfRule>
  </conditionalFormatting>
  <conditionalFormatting sqref="CW8 CW10 CW12 CW14 CW16 CW18 CW20 CW22">
    <cfRule type="cellIs" dxfId="131" priority="132" stopIfTrue="1" operator="equal">
      <formula>"J"</formula>
    </cfRule>
  </conditionalFormatting>
  <conditionalFormatting sqref="AF8 AF10 AF12 AF14 AF16 AF18 AF20 AF22">
    <cfRule type="cellIs" dxfId="130" priority="117" stopIfTrue="1" operator="equal">
      <formula>"J"</formula>
    </cfRule>
  </conditionalFormatting>
  <conditionalFormatting sqref="AR8 AR10 AR12 AR14 AR16 AR18 AR20 AR22">
    <cfRule type="cellIs" dxfId="129" priority="114" stopIfTrue="1" operator="equal">
      <formula>"J"</formula>
    </cfRule>
  </conditionalFormatting>
  <conditionalFormatting sqref="AV8 AV10 AV12 AV14 AV16 AV18 AV20 AV22">
    <cfRule type="cellIs" dxfId="128" priority="111" stopIfTrue="1" operator="equal">
      <formula>"J"</formula>
    </cfRule>
  </conditionalFormatting>
  <conditionalFormatting sqref="AY8 AY10 AY12 AY14 AY16 AY18 AY20 AY22">
    <cfRule type="cellIs" dxfId="127" priority="108" stopIfTrue="1" operator="equal">
      <formula>"J"</formula>
    </cfRule>
  </conditionalFormatting>
  <conditionalFormatting sqref="BJ8 BJ10 BJ12 BJ14 BJ16 BJ18 BJ20 BJ22">
    <cfRule type="cellIs" dxfId="126" priority="105" stopIfTrue="1" operator="equal">
      <formula>"J"</formula>
    </cfRule>
  </conditionalFormatting>
  <conditionalFormatting sqref="BO8 BO10 BO12 BO14 BO16 BO18 BO20 BO22">
    <cfRule type="cellIs" dxfId="125" priority="102" stopIfTrue="1" operator="equal">
      <formula>"J"</formula>
    </cfRule>
  </conditionalFormatting>
  <conditionalFormatting sqref="CA8 CA10 CA12 CA14 CA16 CA18 CA20 CA22">
    <cfRule type="cellIs" dxfId="124" priority="99" stopIfTrue="1" operator="equal">
      <formula>"J"</formula>
    </cfRule>
  </conditionalFormatting>
  <conditionalFormatting sqref="CD8 CD10 CD12 CD14 CD16 CD18 CD20 CD22">
    <cfRule type="cellIs" dxfId="123" priority="96" stopIfTrue="1" operator="equal">
      <formula>"J"</formula>
    </cfRule>
  </conditionalFormatting>
  <conditionalFormatting sqref="CG8 CG10 CG12 CG14 CG16 CG18 CG20 CG22">
    <cfRule type="cellIs" dxfId="122" priority="93" stopIfTrue="1" operator="equal">
      <formula>"J"</formula>
    </cfRule>
  </conditionalFormatting>
  <conditionalFormatting sqref="CQ8 CQ10 CQ12 CQ14 CQ16 CQ18 CQ20 CQ22">
    <cfRule type="cellIs" dxfId="121" priority="91" stopIfTrue="1" operator="equal">
      <formula>"J"</formula>
    </cfRule>
  </conditionalFormatting>
  <conditionalFormatting sqref="BF8 BF10 BF12 BF14 BF16 BF18 BF20 BF22">
    <cfRule type="cellIs" dxfId="120" priority="160" stopIfTrue="1" operator="equal">
      <formula>0</formula>
    </cfRule>
  </conditionalFormatting>
  <conditionalFormatting sqref="AM8 AM10 AM12 AM14 AM16 AM18 AM20 AM22">
    <cfRule type="cellIs" dxfId="119" priority="158" stopIfTrue="1" operator="equal">
      <formula>0</formula>
    </cfRule>
  </conditionalFormatting>
  <conditionalFormatting sqref="AJ8:AL8 AJ10:AL10 AJ12:AL12 AJ14:AL14 AJ16:AL16 AJ18:AL18 AJ20:AL20 AJ22:AL22">
    <cfRule type="cellIs" dxfId="118" priority="159" stopIfTrue="1" operator="equal">
      <formula>"J"</formula>
    </cfRule>
  </conditionalFormatting>
  <conditionalFormatting sqref="CM8 CM10 CM12 CM14 CM16 CM18 CM20 CM22">
    <cfRule type="cellIs" dxfId="117" priority="141" stopIfTrue="1" operator="equal">
      <formula>0</formula>
    </cfRule>
  </conditionalFormatting>
  <conditionalFormatting sqref="CJ8:CL8 CJ10:CL10 CJ12:CL12 CJ14:CL14 CJ16:CL16 CJ18:CL18 CJ20:CL20 CJ22:CL22">
    <cfRule type="cellIs" dxfId="116" priority="142" stopIfTrue="1" operator="equal">
      <formula>"J"</formula>
    </cfRule>
  </conditionalFormatting>
  <conditionalFormatting sqref="CV8 CV10 CV12 CV14 CV16 CV18 CV20 CV22">
    <cfRule type="cellIs" dxfId="115" priority="133" stopIfTrue="1" operator="equal">
      <formula>"J"</formula>
    </cfRule>
  </conditionalFormatting>
  <conditionalFormatting sqref="AI8 AI10 AI12 AI14 AI16 AI18 AI20 AI22">
    <cfRule type="cellIs" dxfId="114" priority="115" stopIfTrue="1" operator="equal">
      <formula>"J"</formula>
    </cfRule>
  </conditionalFormatting>
  <conditionalFormatting sqref="AU8 AU10 AU12 AU14 AU16 AU18 AU20 AU22">
    <cfRule type="cellIs" dxfId="113" priority="112" stopIfTrue="1" operator="equal">
      <formula>"J"</formula>
    </cfRule>
  </conditionalFormatting>
  <conditionalFormatting sqref="AX8 AX10 AX12 AX14 AX16 AX18 AX20 AX22">
    <cfRule type="cellIs" dxfId="112" priority="109" stopIfTrue="1" operator="equal">
      <formula>"J"</formula>
    </cfRule>
  </conditionalFormatting>
  <conditionalFormatting sqref="BA8 BA10 BA12 BA14 BA16 BA18 BA20 BA22">
    <cfRule type="cellIs" dxfId="111" priority="106" stopIfTrue="1" operator="equal">
      <formula>"J"</formula>
    </cfRule>
  </conditionalFormatting>
  <conditionalFormatting sqref="BN8 BN10 BN12 BN14 BN16 BN18 BN20 BN22">
    <cfRule type="cellIs" dxfId="110" priority="103" stopIfTrue="1" operator="equal">
      <formula>"J"</formula>
    </cfRule>
  </conditionalFormatting>
  <conditionalFormatting sqref="BZ8 BZ10 BZ12 BZ14 BZ16 BZ18 BZ20 BZ22">
    <cfRule type="cellIs" dxfId="109" priority="100" stopIfTrue="1" operator="equal">
      <formula>"J"</formula>
    </cfRule>
  </conditionalFormatting>
  <conditionalFormatting sqref="CC8 CC10 CC12 CC14 CC16 CC18 CC20 CC22">
    <cfRule type="cellIs" dxfId="108" priority="97" stopIfTrue="1" operator="equal">
      <formula>"J"</formula>
    </cfRule>
  </conditionalFormatting>
  <conditionalFormatting sqref="CF8 CF10 CF12 CF14 CF16 CF18 CF20 CF22">
    <cfRule type="cellIs" dxfId="107" priority="94" stopIfTrue="1" operator="equal">
      <formula>"J"</formula>
    </cfRule>
  </conditionalFormatting>
  <conditionalFormatting sqref="X8 X10 X12 X14 X16 X18 X20 X22">
    <cfRule type="cellIs" dxfId="106" priority="168" operator="equal">
      <formula>"J"</formula>
    </cfRule>
  </conditionalFormatting>
  <conditionalFormatting sqref="M8:N8 M10:N10 M12:N12 M14:N14 M16:N16 M18:N18 M20:N20 M22:N22">
    <cfRule type="cellIs" dxfId="105" priority="167" operator="equal">
      <formula>"J"</formula>
    </cfRule>
  </conditionalFormatting>
  <conditionalFormatting sqref="Y8:Z8 Y10:Z10 Y12:Z12 Y14:Z14 Y16:Z16 Y18:Z18 Y20:Z20 Y22:Z22">
    <cfRule type="cellIs" dxfId="104" priority="166" operator="equal">
      <formula>"J"</formula>
    </cfRule>
  </conditionalFormatting>
  <conditionalFormatting sqref="BG8 BG10 BG12 BG14 BG16 BG18 BG20 BG22">
    <cfRule type="cellIs" dxfId="103" priority="162" operator="equal">
      <formula>"J"</formula>
    </cfRule>
  </conditionalFormatting>
  <conditionalFormatting sqref="BH8 BH10 BH12 BH14 BH16 BH18 BH20 BH22">
    <cfRule type="cellIs" dxfId="102" priority="161" operator="equal">
      <formula>"J"</formula>
    </cfRule>
  </conditionalFormatting>
  <conditionalFormatting sqref="AO8 AO10 AO12 AO14 AO16 AO18 AO20 AO22">
    <cfRule type="cellIs" dxfId="101" priority="157" operator="equal">
      <formula>"J"</formula>
    </cfRule>
  </conditionalFormatting>
  <conditionalFormatting sqref="AP8 AP10 AP12 AP14 AP16 AP18 AP20 AP22">
    <cfRule type="cellIs" dxfId="100" priority="156" operator="equal">
      <formula>"J"</formula>
    </cfRule>
  </conditionalFormatting>
  <conditionalFormatting sqref="AN8 AN10 AN12 AN14 AN16 AN18 AN20 AN22">
    <cfRule type="cellIs" dxfId="99" priority="155" stopIfTrue="1" operator="equal">
      <formula>0</formula>
    </cfRule>
  </conditionalFormatting>
  <conditionalFormatting sqref="BV8 BV10 BV12 BV14 BV16 BV18 BV20 BV22">
    <cfRule type="cellIs" dxfId="98" priority="153" stopIfTrue="1" operator="equal">
      <formula>0</formula>
    </cfRule>
  </conditionalFormatting>
  <conditionalFormatting sqref="BR8:BU8 BR10:BU10 BR12:BU12 BR14:BU14 BR16:BU16 BR18:BU18 BR20:BU20 BR22:BU22">
    <cfRule type="cellIs" dxfId="97" priority="154" stopIfTrue="1" operator="equal">
      <formula>"J"</formula>
    </cfRule>
  </conditionalFormatting>
  <conditionalFormatting sqref="BX8 BX10 BX12 BX14 BX16 BX18 BX20 BX22">
    <cfRule type="cellIs" dxfId="96" priority="152" operator="equal">
      <formula>"J"</formula>
    </cfRule>
  </conditionalFormatting>
  <conditionalFormatting sqref="BY8 BY10 BY12 BY14 BY16 BY18 BY20 BY22">
    <cfRule type="cellIs" dxfId="95" priority="151" operator="equal">
      <formula>"J"</formula>
    </cfRule>
  </conditionalFormatting>
  <conditionalFormatting sqref="DG8 DG10 DG12 DG14 DG16 DG18 DG20 DG22">
    <cfRule type="cellIs" dxfId="94" priority="149" operator="equal">
      <formula>"J"</formula>
    </cfRule>
  </conditionalFormatting>
  <conditionalFormatting sqref="DH8 DH10 DH12 DH14 DH16 DH18 DH20 DH22">
    <cfRule type="cellIs" dxfId="93" priority="148" operator="equal">
      <formula>"J"</formula>
    </cfRule>
  </conditionalFormatting>
  <conditionalFormatting sqref="CP8 CP10 CP12 CP14 CP16 CP18 CP20 CP22">
    <cfRule type="cellIs" dxfId="92" priority="146" stopIfTrue="1" operator="equal">
      <formula>0</formula>
    </cfRule>
  </conditionalFormatting>
  <conditionalFormatting sqref="DJ8 DJ10 DJ12 DJ14 DJ16 DJ18 DJ20 DJ22">
    <cfRule type="cellIs" dxfId="91" priority="145" stopIfTrue="1" operator="equal">
      <formula>"J"</formula>
    </cfRule>
  </conditionalFormatting>
  <conditionalFormatting sqref="O8 O10 O12 O14 O16 O18 O20 O22">
    <cfRule type="cellIs" dxfId="90" priority="144" operator="equal">
      <formula>"J"</formula>
    </cfRule>
  </conditionalFormatting>
  <conditionalFormatting sqref="P8 P10 P12 P14 P16 P18 P20 P22">
    <cfRule type="cellIs" dxfId="89" priority="143" operator="equal">
      <formula>"J"</formula>
    </cfRule>
  </conditionalFormatting>
  <conditionalFormatting sqref="CO8 CO10 CO12 CO14 CO16 CO18 CO20 CO22">
    <cfRule type="cellIs" dxfId="88" priority="140" operator="equal">
      <formula>"J"</formula>
    </cfRule>
  </conditionalFormatting>
  <conditionalFormatting sqref="DE8 DE10 DE12 DE14 DE16 DE18 DE20 DE22">
    <cfRule type="cellIs" dxfId="87" priority="136" operator="equal">
      <formula>"J"</formula>
    </cfRule>
  </conditionalFormatting>
  <conditionalFormatting sqref="CU8 CU10 CU12 CU14 CU16 CU18 CU20 CU22">
    <cfRule type="cellIs" dxfId="86" priority="135" operator="equal">
      <formula>"J"</formula>
    </cfRule>
  </conditionalFormatting>
  <conditionalFormatting sqref="DI8 DI10 DI12 DI14 DI16 DI18 DI20 DI22">
    <cfRule type="cellIs" dxfId="85" priority="130" operator="equal">
      <formula>"J"</formula>
    </cfRule>
  </conditionalFormatting>
  <conditionalFormatting sqref="AB8 AB10 AB12 AB14 AB16 AB18 AB20 AB22">
    <cfRule type="cellIs" dxfId="84" priority="129" operator="equal">
      <formula>"J"</formula>
    </cfRule>
  </conditionalFormatting>
  <conditionalFormatting sqref="AG8 AG10 AG12 AG14 AG16 AG18 AG20 AG22">
    <cfRule type="cellIs" dxfId="83" priority="128" operator="equal">
      <formula>"J"</formula>
    </cfRule>
  </conditionalFormatting>
  <conditionalFormatting sqref="AS8 AS10 AS12 AS14 AS16 AS18 AS20 AS22">
    <cfRule type="cellIs" dxfId="82" priority="127" operator="equal">
      <formula>"J"</formula>
    </cfRule>
  </conditionalFormatting>
  <conditionalFormatting sqref="BI8 BI10 BI12 BI14 BI16 BI18 BI20 BI22">
    <cfRule type="cellIs" dxfId="81" priority="126" operator="equal">
      <formula>"J"</formula>
    </cfRule>
  </conditionalFormatting>
  <conditionalFormatting sqref="BL8 BL10 BL12 BL14 BL16 BL18 BL20 BL22">
    <cfRule type="cellIs" dxfId="80" priority="125" operator="equal">
      <formula>"J"</formula>
    </cfRule>
  </conditionalFormatting>
  <conditionalFormatting sqref="BQ8 BQ10 BQ12 BQ14 BQ16 BQ18 BQ20 BQ22">
    <cfRule type="cellIs" dxfId="79" priority="124" operator="equal">
      <formula>"J"</formula>
    </cfRule>
  </conditionalFormatting>
  <conditionalFormatting sqref="CS8 CS10 CS12 CS14 CS16 CS18 CS20 CS22">
    <cfRule type="cellIs" dxfId="78" priority="123" operator="equal">
      <formula>"J"</formula>
    </cfRule>
  </conditionalFormatting>
  <conditionalFormatting sqref="CT8 CT10 CT12 CT14 CT16 CT18 CT20 CT22">
    <cfRule type="cellIs" dxfId="77" priority="122" operator="equal">
      <formula>"J"</formula>
    </cfRule>
  </conditionalFormatting>
  <conditionalFormatting sqref="CI8 CI10 CI12 CI14 CI16 CI18 CI20 CI22">
    <cfRule type="cellIs" dxfId="76" priority="121" operator="equal">
      <formula>"J"</formula>
    </cfRule>
  </conditionalFormatting>
  <conditionalFormatting sqref="AC8 AC10 AC12 AC14 AC16 AC18 AC20 AC22">
    <cfRule type="cellIs" dxfId="75" priority="120" operator="equal">
      <formula>"J"</formula>
    </cfRule>
  </conditionalFormatting>
  <conditionalFormatting sqref="AD8 AD10 AD12 AD14 AD16 AD18 AD20 AD22">
    <cfRule type="cellIs" dxfId="74" priority="119" operator="equal">
      <formula>"J"</formula>
    </cfRule>
  </conditionalFormatting>
  <conditionalFormatting sqref="AE8 AE10 AE12 AE14 AE16 AE18 AE20 AE22">
    <cfRule type="cellIs" dxfId="73" priority="118" operator="equal">
      <formula>"J"</formula>
    </cfRule>
  </conditionalFormatting>
  <conditionalFormatting sqref="CR8 CR10 CR12 CR14 CR16 CR18 CR20 CR22">
    <cfRule type="cellIs" dxfId="72" priority="90" stopIfTrue="1" operator="equal">
      <formula>"J"</formula>
    </cfRule>
  </conditionalFormatting>
  <conditionalFormatting sqref="DK8 DK10 DK12 DK14 DK16 DK18 DK20 DK22">
    <cfRule type="cellIs" dxfId="71" priority="88" stopIfTrue="1" operator="equal">
      <formula>"J"</formula>
    </cfRule>
  </conditionalFormatting>
  <conditionalFormatting sqref="AA8 AA10 AA12 AA14 AA16 AA18 AA20 AA22">
    <cfRule type="cellIs" dxfId="70" priority="87" stopIfTrue="1" operator="equal">
      <formula>"J"</formula>
    </cfRule>
  </conditionalFormatting>
  <conditionalFormatting sqref="AM9 AM11 AM13 AM15 AM17 AM19 AM21 AM23">
    <cfRule type="cellIs" dxfId="69" priority="74" stopIfTrue="1" operator="equal">
      <formula>0</formula>
    </cfRule>
  </conditionalFormatting>
  <conditionalFormatting sqref="AJ9:AL9 AJ11:AL11 AJ13:AL13 AJ15:AL15 AJ17:AL17 AJ19:AL19 AJ21:AL21 AJ23:AL23">
    <cfRule type="cellIs" dxfId="68" priority="75" stopIfTrue="1" operator="equal">
      <formula>"J"</formula>
    </cfRule>
  </conditionalFormatting>
  <conditionalFormatting sqref="AN9 AN11 AN13 AN15 AN17 AN19 AN21 AN23">
    <cfRule type="cellIs" dxfId="67" priority="71" stopIfTrue="1" operator="equal">
      <formula>0</formula>
    </cfRule>
  </conditionalFormatting>
  <conditionalFormatting sqref="CP9 CP11 CP13 CP15 CP17 CP19 CP21 CP23">
    <cfRule type="cellIs" dxfId="66" priority="62" stopIfTrue="1" operator="equal">
      <formula>0</formula>
    </cfRule>
  </conditionalFormatting>
  <conditionalFormatting sqref="CM9 CM11 CM13 CM15 CM17 CM19 CM21 CM23">
    <cfRule type="cellIs" dxfId="65" priority="57" stopIfTrue="1" operator="equal">
      <formula>0</formula>
    </cfRule>
  </conditionalFormatting>
  <conditionalFormatting sqref="CJ9:CL9 CJ11:CL11 CJ13:CL13 CJ15:CL15 CJ17:CL17 CJ19:CL19 CJ21:CL21 CJ23:CL23">
    <cfRule type="cellIs" dxfId="64" priority="58" stopIfTrue="1" operator="equal">
      <formula>"J"</formula>
    </cfRule>
  </conditionalFormatting>
  <conditionalFormatting sqref="CB9 CB11 CB13 CB15 CB17 CB19 CB21 CB23">
    <cfRule type="cellIs" dxfId="63" priority="14" stopIfTrue="1" operator="equal">
      <formula>"J"</formula>
    </cfRule>
  </conditionalFormatting>
  <conditionalFormatting sqref="W9 W11 W13 W15 W17 W19 W21 W23">
    <cfRule type="cellIs" dxfId="62" priority="81" stopIfTrue="1" operator="equal">
      <formula>0</formula>
    </cfRule>
  </conditionalFormatting>
  <conditionalFormatting sqref="BV9 BV11 BV13 BV15 BV17 BV19 BV21 BV23">
    <cfRule type="cellIs" dxfId="61" priority="69" stopIfTrue="1" operator="equal">
      <formula>0</formula>
    </cfRule>
  </conditionalFormatting>
  <conditionalFormatting sqref="BR9:BU9 BR11:BU11 BR13:BU13 BR15:BU15 BR17:BU17 BR19:BU19 BR21:BU21 BR23:BU23">
    <cfRule type="cellIs" dxfId="60" priority="70" stopIfTrue="1" operator="equal">
      <formula>"J"</formula>
    </cfRule>
  </conditionalFormatting>
  <conditionalFormatting sqref="BW9 BW11 BW13 BW15 BW17 BW19 BW21 BW23">
    <cfRule type="cellIs" dxfId="59" priority="66" stopIfTrue="1" operator="equal">
      <formula>0</formula>
    </cfRule>
  </conditionalFormatting>
  <conditionalFormatting sqref="DF9 DF11 DF13 DF15 DF17 DF19 DF21 DF23">
    <cfRule type="cellIs" dxfId="58" priority="63" stopIfTrue="1" operator="equal">
      <formula>0</formula>
    </cfRule>
  </conditionalFormatting>
  <conditionalFormatting sqref="DJ9 DJ11 DJ13 DJ15 DJ17 DJ19 DJ21 DJ23">
    <cfRule type="cellIs" dxfId="57" priority="61" stopIfTrue="1" operator="equal">
      <formula>"J"</formula>
    </cfRule>
  </conditionalFormatting>
  <conditionalFormatting sqref="CW9 CW11 CW13 CW15 CW17 CW19 CW21 CW23">
    <cfRule type="cellIs" dxfId="56" priority="48" stopIfTrue="1" operator="equal">
      <formula>"J"</formula>
    </cfRule>
  </conditionalFormatting>
  <conditionalFormatting sqref="AF9 AF11 AF13 AF15 AF17 AF19 AF21 AF23">
    <cfRule type="cellIs" dxfId="55" priority="33" stopIfTrue="1" operator="equal">
      <formula>"J"</formula>
    </cfRule>
  </conditionalFormatting>
  <conditionalFormatting sqref="AR9 AR11 AR13 AR15 AR17 AR19 AR21 AR23">
    <cfRule type="cellIs" dxfId="54" priority="30" stopIfTrue="1" operator="equal">
      <formula>"J"</formula>
    </cfRule>
  </conditionalFormatting>
  <conditionalFormatting sqref="AV9 AV11 AV13 AV15 AV17 AV19 AV21 AV23">
    <cfRule type="cellIs" dxfId="53" priority="27" stopIfTrue="1" operator="equal">
      <formula>"J"</formula>
    </cfRule>
  </conditionalFormatting>
  <conditionalFormatting sqref="AY9 AY11 AY13 AY15 AY17 AY19 AY21 AY23">
    <cfRule type="cellIs" dxfId="52" priority="24" stopIfTrue="1" operator="equal">
      <formula>"J"</formula>
    </cfRule>
  </conditionalFormatting>
  <conditionalFormatting sqref="BJ9 BJ11 BJ13 BJ15 BJ17 BJ19 BJ21 BJ23">
    <cfRule type="cellIs" dxfId="51" priority="21" stopIfTrue="1" operator="equal">
      <formula>"J"</formula>
    </cfRule>
  </conditionalFormatting>
  <conditionalFormatting sqref="BO9 BO11 BO13 BO15 BO17 BO19 BO21 BO23">
    <cfRule type="cellIs" dxfId="50" priority="18" stopIfTrue="1" operator="equal">
      <formula>"J"</formula>
    </cfRule>
  </conditionalFormatting>
  <conditionalFormatting sqref="CA9 CA11 CA13 CA15 CA17 CA19 CA21 CA23">
    <cfRule type="cellIs" dxfId="49" priority="15" stopIfTrue="1" operator="equal">
      <formula>"J"</formula>
    </cfRule>
  </conditionalFormatting>
  <conditionalFormatting sqref="CD9 CD11 CD13 CD15 CD17 CD19 CD21 CD23">
    <cfRule type="cellIs" dxfId="48" priority="12" stopIfTrue="1" operator="equal">
      <formula>"J"</formula>
    </cfRule>
  </conditionalFormatting>
  <conditionalFormatting sqref="CG9 CG11 CG13 CG15 CG17 CG19 CG21 CG23">
    <cfRule type="cellIs" dxfId="47" priority="9" stopIfTrue="1" operator="equal">
      <formula>"J"</formula>
    </cfRule>
  </conditionalFormatting>
  <conditionalFormatting sqref="CQ9 CQ11 CQ13 CQ15 CQ17 CQ19 CQ21 CQ23">
    <cfRule type="cellIs" dxfId="46" priority="7" stopIfTrue="1" operator="equal">
      <formula>"J"</formula>
    </cfRule>
  </conditionalFormatting>
  <conditionalFormatting sqref="X9 X11 X13 X15 X17 X19 X21 X23">
    <cfRule type="cellIs" dxfId="45" priority="84" operator="equal">
      <formula>"J"</formula>
    </cfRule>
  </conditionalFormatting>
  <conditionalFormatting sqref="M9:N9 M11:N11 M13:N13 M15:N15 M17:N17 M19:N19 M21:N21 M23:N23">
    <cfRule type="cellIs" dxfId="44" priority="83" operator="equal">
      <formula>"J"</formula>
    </cfRule>
  </conditionalFormatting>
  <conditionalFormatting sqref="Y9:Z9 Y11:Z11 Y13:Z13 Y15:Z15 Y17:Z17 Y19:Z19 Y21:Z21 Y23:Z23">
    <cfRule type="cellIs" dxfId="43" priority="82" operator="equal">
      <formula>"J"</formula>
    </cfRule>
  </conditionalFormatting>
  <conditionalFormatting sqref="BG9 BG11 BG13 BG15 BG17 BG19 BG21 BG23">
    <cfRule type="cellIs" dxfId="42" priority="78" operator="equal">
      <formula>"J"</formula>
    </cfRule>
  </conditionalFormatting>
  <conditionalFormatting sqref="BH9 BH11 BH13 BH15 BH17 BH19 BH21 BH23">
    <cfRule type="cellIs" dxfId="41" priority="77" operator="equal">
      <formula>"J"</formula>
    </cfRule>
  </conditionalFormatting>
  <conditionalFormatting sqref="AO9 AO11 AO13 AO15 AO17 AO19 AO21 AO23">
    <cfRule type="cellIs" dxfId="40" priority="73" operator="equal">
      <formula>"J"</formula>
    </cfRule>
  </conditionalFormatting>
  <conditionalFormatting sqref="AP9 AP11 AP13 AP15 AP17 AP19 AP21 AP23">
    <cfRule type="cellIs" dxfId="39" priority="72" operator="equal">
      <formula>"J"</formula>
    </cfRule>
  </conditionalFormatting>
  <conditionalFormatting sqref="BX9 BX11 BX13 BX15 BX17 BX19 BX21 BX23">
    <cfRule type="cellIs" dxfId="38" priority="68" operator="equal">
      <formula>"J"</formula>
    </cfRule>
  </conditionalFormatting>
  <conditionalFormatting sqref="BY9 BY11 BY13 BY15 BY17 BY19 BY21 BY23">
    <cfRule type="cellIs" dxfId="37" priority="67" operator="equal">
      <formula>"J"</formula>
    </cfRule>
  </conditionalFormatting>
  <conditionalFormatting sqref="DG9 DG11 DG13 DG15 DG17 DG19 DG21 DG23">
    <cfRule type="cellIs" dxfId="36" priority="65" operator="equal">
      <formula>"J"</formula>
    </cfRule>
  </conditionalFormatting>
  <conditionalFormatting sqref="DH9 DH11 DH13 DH15 DH17 DH19 DH21 DH23">
    <cfRule type="cellIs" dxfId="35" priority="64" operator="equal">
      <formula>"J"</formula>
    </cfRule>
  </conditionalFormatting>
  <conditionalFormatting sqref="O9 O11 O13 O15 O17 O19 O21 O23">
    <cfRule type="cellIs" dxfId="34" priority="60" operator="equal">
      <formula>"J"</formula>
    </cfRule>
  </conditionalFormatting>
  <conditionalFormatting sqref="P9 P11 P13 P15 P17 P19 P21 P23">
    <cfRule type="cellIs" dxfId="33" priority="59" operator="equal">
      <formula>"J"</formula>
    </cfRule>
  </conditionalFormatting>
  <conditionalFormatting sqref="CV9 CV11 CV13 CV15 CV17 CV19 CV21 CV23">
    <cfRule type="cellIs" dxfId="32" priority="49" stopIfTrue="1" operator="equal">
      <formula>"J"</formula>
    </cfRule>
  </conditionalFormatting>
  <conditionalFormatting sqref="CO9 CO11 CO13 CO15 CO17 CO19 CO21 CO23">
    <cfRule type="cellIs" dxfId="31" priority="56" operator="equal">
      <formula>"J"</formula>
    </cfRule>
  </conditionalFormatting>
  <conditionalFormatting sqref="DC9 DC11 DC13 DC15 DC17 DC19 DC21 DC23">
    <cfRule type="cellIs" dxfId="30" priority="53" stopIfTrue="1" operator="equal">
      <formula>0</formula>
    </cfRule>
  </conditionalFormatting>
  <conditionalFormatting sqref="CY9:DB9 CY11:DB11 CY13:DB13 CY15:DB15 CY17:DB17 CY19:DB19 CY21:DB21 CY23:DB23">
    <cfRule type="cellIs" dxfId="29" priority="54" stopIfTrue="1" operator="equal">
      <formula>"J"</formula>
    </cfRule>
  </conditionalFormatting>
  <conditionalFormatting sqref="DE9 DE11 DE13 DE15 DE17 DE19 DE21 DE23">
    <cfRule type="cellIs" dxfId="28" priority="52" operator="equal">
      <formula>"J"</formula>
    </cfRule>
  </conditionalFormatting>
  <conditionalFormatting sqref="CU9 CU11 CU13 CU15 CU17 CU19 CU21 CU23">
    <cfRule type="cellIs" dxfId="27" priority="51" operator="equal">
      <formula>"J"</formula>
    </cfRule>
  </conditionalFormatting>
  <conditionalFormatting sqref="DD9 DD11 DD13 DD15 DD17 DD19 DD21 DD23">
    <cfRule type="cellIs" dxfId="26" priority="50" stopIfTrue="1" operator="equal">
      <formula>0</formula>
    </cfRule>
  </conditionalFormatting>
  <conditionalFormatting sqref="DI9 DI11 DI13 DI15 DI17 DI19 DI21 DI23">
    <cfRule type="cellIs" dxfId="25" priority="46" operator="equal">
      <formula>"J"</formula>
    </cfRule>
  </conditionalFormatting>
  <conditionalFormatting sqref="AB9 AB11 AB13 AB15 AB17 AB19 AB21 AB23">
    <cfRule type="cellIs" dxfId="24" priority="45" operator="equal">
      <formula>"J"</formula>
    </cfRule>
  </conditionalFormatting>
  <conditionalFormatting sqref="AG9 AG11 AG13 AG15 AG17 AG19 AG21 AG23">
    <cfRule type="cellIs" dxfId="23" priority="44" operator="equal">
      <formula>"J"</formula>
    </cfRule>
  </conditionalFormatting>
  <conditionalFormatting sqref="AS9 AS11 AS13 AS15 AS17 AS19 AS21 AS23">
    <cfRule type="cellIs" dxfId="22" priority="43" operator="equal">
      <formula>"J"</formula>
    </cfRule>
  </conditionalFormatting>
  <conditionalFormatting sqref="BI9 BI11 BI13 BI15 BI17 BI19 BI21 BI23">
    <cfRule type="cellIs" dxfId="21" priority="42" operator="equal">
      <formula>"J"</formula>
    </cfRule>
  </conditionalFormatting>
  <conditionalFormatting sqref="BL9 BL11 BL13 BL15 BL17 BL19 BL21 BL23">
    <cfRule type="cellIs" dxfId="20" priority="41" operator="equal">
      <formula>"J"</formula>
    </cfRule>
  </conditionalFormatting>
  <conditionalFormatting sqref="BQ9 BQ11 BQ13 BQ15 BQ17 BQ19 BQ21 BQ23">
    <cfRule type="cellIs" dxfId="19" priority="40" operator="equal">
      <formula>"J"</formula>
    </cfRule>
  </conditionalFormatting>
  <conditionalFormatting sqref="CS9 CS11 CS13 CS15 CS17 CS19 CS21 CS23">
    <cfRule type="cellIs" dxfId="18" priority="39" operator="equal">
      <formula>"J"</formula>
    </cfRule>
  </conditionalFormatting>
  <conditionalFormatting sqref="CT9 CT11 CT13 CT15 CT17 CT19 CT21 CT23">
    <cfRule type="cellIs" dxfId="17" priority="38" operator="equal">
      <formula>"J"</formula>
    </cfRule>
  </conditionalFormatting>
  <conditionalFormatting sqref="CI9 CI11 CI13 CI15 CI17 CI19 CI21 CI23">
    <cfRule type="cellIs" dxfId="16" priority="37" operator="equal">
      <formula>"J"</formula>
    </cfRule>
  </conditionalFormatting>
  <conditionalFormatting sqref="AC9 AC11 AC13 AC15 AC17 AC19 AC21 AC23">
    <cfRule type="cellIs" dxfId="15" priority="36" operator="equal">
      <formula>"J"</formula>
    </cfRule>
  </conditionalFormatting>
  <conditionalFormatting sqref="AD9 AD11 AD13 AD15 AD17 AD19 AD21 AD23">
    <cfRule type="cellIs" dxfId="14" priority="35" operator="equal">
      <formula>"J"</formula>
    </cfRule>
  </conditionalFormatting>
  <conditionalFormatting sqref="AE9 AE11 AE13 AE15 AE17 AE19 AE21 AE23">
    <cfRule type="cellIs" dxfId="13" priority="34" operator="equal">
      <formula>"J"</formula>
    </cfRule>
  </conditionalFormatting>
  <conditionalFormatting sqref="AI9 AI11 AI13 AI15 AI17 AI19 AI21 AI23">
    <cfRule type="cellIs" dxfId="12" priority="31" stopIfTrue="1" operator="equal">
      <formula>"J"</formula>
    </cfRule>
  </conditionalFormatting>
  <conditionalFormatting sqref="AU9 AU11 AU13 AU15 AU17 AU19 AU21 AU23">
    <cfRule type="cellIs" dxfId="11" priority="28" stopIfTrue="1" operator="equal">
      <formula>"J"</formula>
    </cfRule>
  </conditionalFormatting>
  <conditionalFormatting sqref="AX9 AX11 AX13 AX15 AX17 AX19 AX21 AX23">
    <cfRule type="cellIs" dxfId="10" priority="25" stopIfTrue="1" operator="equal">
      <formula>"J"</formula>
    </cfRule>
  </conditionalFormatting>
  <conditionalFormatting sqref="BA9 BA11 BA13 BA15 BA17 BA19 BA21 BA23">
    <cfRule type="cellIs" dxfId="9" priority="22" stopIfTrue="1" operator="equal">
      <formula>"J"</formula>
    </cfRule>
  </conditionalFormatting>
  <conditionalFormatting sqref="BN9 BN11 BN13 BN15 BN17 BN19 BN21 BN23">
    <cfRule type="cellIs" dxfId="8" priority="19" stopIfTrue="1" operator="equal">
      <formula>"J"</formula>
    </cfRule>
  </conditionalFormatting>
  <conditionalFormatting sqref="BZ9 BZ11 BZ13 BZ15 BZ17 BZ19 BZ21 BZ23">
    <cfRule type="cellIs" dxfId="7" priority="16" stopIfTrue="1" operator="equal">
      <formula>"J"</formula>
    </cfRule>
  </conditionalFormatting>
  <conditionalFormatting sqref="CC9 CC11 CC13 CC15 CC17 CC19 CC21 CC23">
    <cfRule type="cellIs" dxfId="6" priority="13" stopIfTrue="1" operator="equal">
      <formula>"J"</formula>
    </cfRule>
  </conditionalFormatting>
  <conditionalFormatting sqref="CF9 CF11 CF13 CF15 CF17 CF19 CF21 CF23">
    <cfRule type="cellIs" dxfId="5" priority="10" stopIfTrue="1" operator="equal">
      <formula>"J"</formula>
    </cfRule>
  </conditionalFormatting>
  <conditionalFormatting sqref="CR9 CR11 CR13 CR15 CR17 CR19 CR21 CR23">
    <cfRule type="cellIs" dxfId="4" priority="6" stopIfTrue="1" operator="equal">
      <formula>"J"</formula>
    </cfRule>
  </conditionalFormatting>
  <conditionalFormatting sqref="DK9 DK11 DK13 DK15 DK17 DK19 DK21 DK23">
    <cfRule type="cellIs" dxfId="3" priority="4" stopIfTrue="1" operator="equal">
      <formula>"J"</formula>
    </cfRule>
  </conditionalFormatting>
  <conditionalFormatting sqref="AA9 AA11 AA13 AA15 AA17 AA19 AA21 AA23">
    <cfRule type="cellIs" dxfId="2" priority="3" stopIfTrue="1" operator="equal">
      <formula>"J"</formula>
    </cfRule>
  </conditionalFormatting>
  <conditionalFormatting sqref="K9 K11 K13 K15 K17 K19 K21 K23">
    <cfRule type="cellIs" dxfId="1" priority="1" stopIfTrue="1" operator="equal">
      <formula>"J"</formula>
    </cfRule>
  </conditionalFormatting>
  <conditionalFormatting sqref="K8 K10 K12 K14 K16 K18 K20 K22">
    <cfRule type="cellIs" dxfId="0" priority="2" stopIfTrue="1" operator="equal">
      <formula>"J"</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3"/>
  <dimension ref="A1:F99"/>
  <sheetViews>
    <sheetView workbookViewId="0">
      <pane xSplit="4" ySplit="7" topLeftCell="E8" activePane="bottomRight" state="frozen"/>
      <selection pane="topRight" activeCell="E1" sqref="E1"/>
      <selection pane="bottomLeft" activeCell="A8" sqref="A8"/>
      <selection pane="bottomRight" activeCell="E10" sqref="E10"/>
    </sheetView>
  </sheetViews>
  <sheetFormatPr defaultColWidth="9.1796875" defaultRowHeight="14.5" x14ac:dyDescent="0.35"/>
  <cols>
    <col min="1" max="1" width="12.26953125" customWidth="1"/>
    <col min="2" max="2" width="12.81640625" customWidth="1"/>
    <col min="3" max="3" width="19.26953125" customWidth="1"/>
    <col min="4" max="4" width="56.26953125" customWidth="1"/>
  </cols>
  <sheetData>
    <row r="1" spans="1:6" x14ac:dyDescent="0.35">
      <c r="A1" s="34"/>
      <c r="B1" s="19"/>
      <c r="C1" s="19"/>
    </row>
    <row r="2" spans="1:6" ht="15.5" x14ac:dyDescent="0.35">
      <c r="A2" s="8" t="s">
        <v>15</v>
      </c>
      <c r="B2" s="4"/>
      <c r="C2" s="4"/>
    </row>
    <row r="3" spans="1:6" x14ac:dyDescent="0.35">
      <c r="A3" s="10"/>
      <c r="B3" s="4"/>
      <c r="C3" s="4"/>
    </row>
    <row r="4" spans="1:6" x14ac:dyDescent="0.35">
      <c r="A4" s="10"/>
      <c r="B4" s="4"/>
      <c r="C4" s="4"/>
    </row>
    <row r="5" spans="1:6" x14ac:dyDescent="0.35">
      <c r="A5" s="10"/>
      <c r="B5" s="4"/>
      <c r="C5" s="4"/>
    </row>
    <row r="6" spans="1:6" ht="15" thickBot="1" x14ac:dyDescent="0.4">
      <c r="A6" s="134" t="s">
        <v>16</v>
      </c>
      <c r="B6" s="134"/>
      <c r="C6" s="134"/>
      <c r="D6" s="134"/>
    </row>
    <row r="7" spans="1:6" ht="15" thickBot="1" x14ac:dyDescent="0.4">
      <c r="A7" s="35" t="s">
        <v>17</v>
      </c>
      <c r="B7" s="36" t="s">
        <v>18</v>
      </c>
      <c r="C7" s="37" t="s">
        <v>19</v>
      </c>
      <c r="D7" s="38" t="s">
        <v>20</v>
      </c>
      <c r="E7" s="39"/>
      <c r="F7" s="39"/>
    </row>
    <row r="8" spans="1:6" ht="50.15" customHeight="1" x14ac:dyDescent="0.35">
      <c r="A8" s="40">
        <v>45866</v>
      </c>
      <c r="B8" s="78">
        <v>2</v>
      </c>
      <c r="C8" s="79">
        <f>IF(ISBLANK(B8),"",B8)</f>
        <v>2</v>
      </c>
      <c r="D8" s="80" t="s">
        <v>91</v>
      </c>
      <c r="E8" s="25"/>
      <c r="F8" s="25"/>
    </row>
    <row r="9" spans="1:6" ht="50.15" customHeight="1" x14ac:dyDescent="0.35">
      <c r="A9" s="40">
        <v>45867</v>
      </c>
      <c r="B9" s="78">
        <v>2</v>
      </c>
      <c r="C9" s="79">
        <f>IF(ISBLANK(B9),"",B9+C8)</f>
        <v>4</v>
      </c>
      <c r="D9" s="80" t="s">
        <v>92</v>
      </c>
      <c r="E9" s="25"/>
      <c r="F9" s="25"/>
    </row>
    <row r="10" spans="1:6" ht="50.15" customHeight="1" x14ac:dyDescent="0.35">
      <c r="A10" s="40">
        <v>45873</v>
      </c>
      <c r="B10" s="78">
        <v>2</v>
      </c>
      <c r="C10" s="79">
        <f t="shared" ref="C10:C47" si="0">IF(ISBLANK(B10),"",B10+C9)</f>
        <v>6</v>
      </c>
      <c r="D10" s="80" t="s">
        <v>93</v>
      </c>
      <c r="E10" s="25"/>
      <c r="F10" s="25"/>
    </row>
    <row r="11" spans="1:6" ht="50.15" customHeight="1" x14ac:dyDescent="0.35">
      <c r="A11" s="40">
        <v>45874</v>
      </c>
      <c r="B11" s="78">
        <v>2</v>
      </c>
      <c r="C11" s="79">
        <f t="shared" si="0"/>
        <v>8</v>
      </c>
      <c r="D11" s="80" t="s">
        <v>94</v>
      </c>
      <c r="E11" s="25"/>
      <c r="F11" s="25"/>
    </row>
    <row r="12" spans="1:6" ht="50.15" customHeight="1" x14ac:dyDescent="0.35">
      <c r="A12" s="40">
        <v>45880</v>
      </c>
      <c r="B12" s="78">
        <v>2</v>
      </c>
      <c r="C12" s="79">
        <f t="shared" si="0"/>
        <v>10</v>
      </c>
      <c r="D12" s="80" t="s">
        <v>95</v>
      </c>
      <c r="E12" s="25"/>
      <c r="F12" s="25"/>
    </row>
    <row r="13" spans="1:6" ht="50.15" customHeight="1" x14ac:dyDescent="0.35">
      <c r="A13" s="40">
        <v>45881</v>
      </c>
      <c r="B13" s="78">
        <v>2</v>
      </c>
      <c r="C13" s="79">
        <f t="shared" si="0"/>
        <v>12</v>
      </c>
      <c r="D13" s="80" t="s">
        <v>96</v>
      </c>
      <c r="E13" s="25"/>
      <c r="F13" s="25"/>
    </row>
    <row r="14" spans="1:6" ht="50.15" customHeight="1" x14ac:dyDescent="0.35">
      <c r="A14" s="40">
        <v>45887</v>
      </c>
      <c r="B14" s="78">
        <v>2</v>
      </c>
      <c r="C14" s="79">
        <f t="shared" si="0"/>
        <v>14</v>
      </c>
      <c r="D14" s="80" t="s">
        <v>97</v>
      </c>
      <c r="E14" s="25"/>
      <c r="F14" s="25"/>
    </row>
    <row r="15" spans="1:6" ht="50.15" customHeight="1" x14ac:dyDescent="0.35">
      <c r="A15" s="40">
        <v>45888</v>
      </c>
      <c r="B15" s="78">
        <v>2</v>
      </c>
      <c r="C15" s="79">
        <f t="shared" si="0"/>
        <v>16</v>
      </c>
      <c r="D15" s="80" t="s">
        <v>97</v>
      </c>
      <c r="E15" s="25"/>
      <c r="F15" s="25"/>
    </row>
    <row r="16" spans="1:6" ht="50.15" customHeight="1" x14ac:dyDescent="0.35">
      <c r="A16" s="40">
        <v>45894</v>
      </c>
      <c r="B16" s="78">
        <v>2</v>
      </c>
      <c r="C16" s="79">
        <f t="shared" si="0"/>
        <v>18</v>
      </c>
      <c r="D16" s="80" t="s">
        <v>98</v>
      </c>
      <c r="E16" s="25"/>
      <c r="F16" s="25"/>
    </row>
    <row r="17" spans="1:6" ht="50.15" customHeight="1" x14ac:dyDescent="0.35">
      <c r="A17" s="40">
        <v>45895</v>
      </c>
      <c r="B17" s="78">
        <v>2</v>
      </c>
      <c r="C17" s="79">
        <f t="shared" si="0"/>
        <v>20</v>
      </c>
      <c r="D17" s="80" t="s">
        <v>99</v>
      </c>
      <c r="E17" s="25"/>
      <c r="F17" s="25"/>
    </row>
    <row r="18" spans="1:6" ht="50.15" customHeight="1" x14ac:dyDescent="0.35">
      <c r="A18" s="40">
        <v>45901</v>
      </c>
      <c r="B18" s="78">
        <v>2</v>
      </c>
      <c r="C18" s="79">
        <f t="shared" si="0"/>
        <v>22</v>
      </c>
      <c r="D18" s="80" t="s">
        <v>100</v>
      </c>
      <c r="E18" s="25"/>
      <c r="F18" s="25"/>
    </row>
    <row r="19" spans="1:6" ht="50.15" customHeight="1" x14ac:dyDescent="0.35">
      <c r="A19" s="40">
        <v>45902</v>
      </c>
      <c r="B19" s="78">
        <v>2</v>
      </c>
      <c r="C19" s="79">
        <f t="shared" si="0"/>
        <v>24</v>
      </c>
      <c r="D19" s="80" t="s">
        <v>101</v>
      </c>
      <c r="E19" s="25"/>
      <c r="F19" s="25"/>
    </row>
    <row r="20" spans="1:6" ht="50.15" customHeight="1" x14ac:dyDescent="0.35">
      <c r="A20" s="40">
        <v>45908</v>
      </c>
      <c r="B20" s="78">
        <v>2</v>
      </c>
      <c r="C20" s="79">
        <f t="shared" si="0"/>
        <v>26</v>
      </c>
      <c r="D20" s="80" t="s">
        <v>102</v>
      </c>
      <c r="E20" s="25"/>
      <c r="F20" s="25"/>
    </row>
    <row r="21" spans="1:6" ht="50.15" customHeight="1" x14ac:dyDescent="0.35">
      <c r="A21" s="40">
        <v>45909</v>
      </c>
      <c r="B21" s="78">
        <v>2</v>
      </c>
      <c r="C21" s="79">
        <f t="shared" si="0"/>
        <v>28</v>
      </c>
      <c r="D21" s="80" t="s">
        <v>103</v>
      </c>
      <c r="E21" s="25"/>
      <c r="F21" s="25"/>
    </row>
    <row r="22" spans="1:6" ht="50.15" customHeight="1" x14ac:dyDescent="0.35">
      <c r="A22" s="40">
        <v>45913</v>
      </c>
      <c r="B22" s="78">
        <v>2</v>
      </c>
      <c r="C22" s="79">
        <f t="shared" si="0"/>
        <v>30</v>
      </c>
      <c r="D22" s="80" t="s">
        <v>104</v>
      </c>
      <c r="E22" s="25"/>
      <c r="F22" s="25"/>
    </row>
    <row r="23" spans="1:6" ht="50.15" customHeight="1" x14ac:dyDescent="0.35">
      <c r="A23" s="40">
        <v>45915</v>
      </c>
      <c r="B23" s="78">
        <v>2</v>
      </c>
      <c r="C23" s="79">
        <f t="shared" si="0"/>
        <v>32</v>
      </c>
      <c r="D23" s="80" t="s">
        <v>105</v>
      </c>
      <c r="E23" s="25"/>
      <c r="F23" s="25"/>
    </row>
    <row r="24" spans="1:6" ht="50.15" customHeight="1" x14ac:dyDescent="0.35">
      <c r="A24" s="40">
        <v>45916</v>
      </c>
      <c r="B24" s="78">
        <v>2</v>
      </c>
      <c r="C24" s="79">
        <f t="shared" si="0"/>
        <v>34</v>
      </c>
      <c r="D24" s="80" t="s">
        <v>106</v>
      </c>
      <c r="E24" s="25"/>
      <c r="F24" s="25"/>
    </row>
    <row r="25" spans="1:6" ht="50.15" customHeight="1" x14ac:dyDescent="0.35">
      <c r="A25" s="40">
        <v>45922</v>
      </c>
      <c r="B25" s="78">
        <v>2</v>
      </c>
      <c r="C25" s="79">
        <f t="shared" si="0"/>
        <v>36</v>
      </c>
      <c r="D25" s="80" t="s">
        <v>107</v>
      </c>
      <c r="E25" s="25"/>
      <c r="F25" s="25"/>
    </row>
    <row r="26" spans="1:6" ht="50.15" customHeight="1" x14ac:dyDescent="0.35">
      <c r="A26" s="40">
        <v>45923</v>
      </c>
      <c r="B26" s="78">
        <v>2</v>
      </c>
      <c r="C26" s="79">
        <f t="shared" si="0"/>
        <v>38</v>
      </c>
      <c r="D26" s="80" t="s">
        <v>108</v>
      </c>
      <c r="E26" s="25"/>
      <c r="F26" s="25"/>
    </row>
    <row r="27" spans="1:6" ht="50.15" customHeight="1" x14ac:dyDescent="0.35">
      <c r="A27" s="40">
        <v>45929</v>
      </c>
      <c r="B27" s="78">
        <v>2</v>
      </c>
      <c r="C27" s="79">
        <f t="shared" si="0"/>
        <v>40</v>
      </c>
      <c r="D27" s="80" t="s">
        <v>109</v>
      </c>
      <c r="E27" s="25"/>
      <c r="F27" s="25"/>
    </row>
    <row r="28" spans="1:6" ht="50.15" customHeight="1" x14ac:dyDescent="0.35">
      <c r="A28" s="40">
        <v>45930</v>
      </c>
      <c r="B28" s="78">
        <v>2</v>
      </c>
      <c r="C28" s="79">
        <f t="shared" si="0"/>
        <v>42</v>
      </c>
      <c r="D28" s="80" t="s">
        <v>110</v>
      </c>
      <c r="E28" s="25"/>
      <c r="F28" s="25"/>
    </row>
    <row r="29" spans="1:6" ht="50.15" customHeight="1" x14ac:dyDescent="0.35">
      <c r="A29" s="40">
        <v>45936</v>
      </c>
      <c r="B29" s="78">
        <v>2</v>
      </c>
      <c r="C29" s="79">
        <f t="shared" si="0"/>
        <v>44</v>
      </c>
      <c r="D29" s="80" t="s">
        <v>111</v>
      </c>
      <c r="E29" s="25"/>
      <c r="F29" s="25"/>
    </row>
    <row r="30" spans="1:6" ht="50.15" customHeight="1" x14ac:dyDescent="0.35">
      <c r="A30" s="40">
        <v>45937</v>
      </c>
      <c r="B30" s="78">
        <v>2</v>
      </c>
      <c r="C30" s="79">
        <f t="shared" si="0"/>
        <v>46</v>
      </c>
      <c r="D30" s="80" t="s">
        <v>111</v>
      </c>
      <c r="E30" s="25"/>
      <c r="F30" s="25"/>
    </row>
    <row r="31" spans="1:6" ht="50.15" customHeight="1" x14ac:dyDescent="0.35">
      <c r="A31" s="40">
        <v>45944</v>
      </c>
      <c r="B31" s="78">
        <v>2</v>
      </c>
      <c r="C31" s="79">
        <f t="shared" si="0"/>
        <v>48</v>
      </c>
      <c r="D31" s="80" t="s">
        <v>112</v>
      </c>
      <c r="E31" s="25"/>
      <c r="F31" s="25"/>
    </row>
    <row r="32" spans="1:6" ht="50.15" customHeight="1" x14ac:dyDescent="0.35">
      <c r="A32" s="40">
        <v>45950</v>
      </c>
      <c r="B32" s="78">
        <v>2</v>
      </c>
      <c r="C32" s="79">
        <f t="shared" si="0"/>
        <v>50</v>
      </c>
      <c r="D32" s="80" t="s">
        <v>112</v>
      </c>
      <c r="E32" s="25"/>
      <c r="F32" s="25"/>
    </row>
    <row r="33" spans="1:6" ht="50.15" customHeight="1" x14ac:dyDescent="0.35">
      <c r="A33" s="40">
        <v>45951</v>
      </c>
      <c r="B33" s="78">
        <v>2</v>
      </c>
      <c r="C33" s="79">
        <f t="shared" si="0"/>
        <v>52</v>
      </c>
      <c r="D33" s="80" t="s">
        <v>113</v>
      </c>
      <c r="E33" s="25"/>
      <c r="F33" s="25"/>
    </row>
    <row r="34" spans="1:6" ht="50.15" customHeight="1" x14ac:dyDescent="0.35">
      <c r="A34" s="40">
        <v>45957</v>
      </c>
      <c r="B34" s="78">
        <v>2</v>
      </c>
      <c r="C34" s="79">
        <f t="shared" si="0"/>
        <v>54</v>
      </c>
      <c r="D34" s="80" t="s">
        <v>114</v>
      </c>
      <c r="E34" s="25"/>
      <c r="F34" s="25"/>
    </row>
    <row r="35" spans="1:6" ht="50.15" customHeight="1" x14ac:dyDescent="0.35">
      <c r="A35" s="40">
        <v>45958</v>
      </c>
      <c r="B35" s="78">
        <v>2</v>
      </c>
      <c r="C35" s="79">
        <f t="shared" si="0"/>
        <v>56</v>
      </c>
      <c r="D35" s="80" t="s">
        <v>115</v>
      </c>
      <c r="E35" s="25"/>
      <c r="F35" s="25"/>
    </row>
    <row r="36" spans="1:6" ht="50.15" customHeight="1" x14ac:dyDescent="0.35">
      <c r="A36" s="40">
        <v>45964</v>
      </c>
      <c r="B36" s="78">
        <v>2</v>
      </c>
      <c r="C36" s="79">
        <f t="shared" si="0"/>
        <v>58</v>
      </c>
      <c r="D36" s="80" t="s">
        <v>116</v>
      </c>
      <c r="E36" s="25"/>
      <c r="F36" s="25"/>
    </row>
    <row r="37" spans="1:6" ht="50.15" customHeight="1" x14ac:dyDescent="0.35">
      <c r="A37" s="40">
        <v>45965</v>
      </c>
      <c r="B37" s="78">
        <v>2</v>
      </c>
      <c r="C37" s="79">
        <f t="shared" si="0"/>
        <v>60</v>
      </c>
      <c r="D37" s="80" t="s">
        <v>117</v>
      </c>
      <c r="E37" s="25"/>
      <c r="F37" s="25"/>
    </row>
    <row r="38" spans="1:6" ht="50.15" customHeight="1" x14ac:dyDescent="0.35">
      <c r="A38" s="40">
        <v>45971</v>
      </c>
      <c r="B38" s="78">
        <v>2</v>
      </c>
      <c r="C38" s="79">
        <f t="shared" si="0"/>
        <v>62</v>
      </c>
      <c r="D38" s="80" t="s">
        <v>118</v>
      </c>
      <c r="E38" s="25"/>
      <c r="F38" s="25"/>
    </row>
    <row r="39" spans="1:6" ht="50.15" customHeight="1" x14ac:dyDescent="0.35">
      <c r="A39" s="40">
        <v>45972</v>
      </c>
      <c r="B39" s="78">
        <v>2</v>
      </c>
      <c r="C39" s="79">
        <f t="shared" si="0"/>
        <v>64</v>
      </c>
      <c r="D39" s="80" t="s">
        <v>119</v>
      </c>
      <c r="E39" s="25"/>
      <c r="F39" s="25"/>
    </row>
    <row r="40" spans="1:6" ht="50.15" customHeight="1" x14ac:dyDescent="0.35">
      <c r="A40" s="40">
        <v>45978</v>
      </c>
      <c r="B40" s="78">
        <v>2</v>
      </c>
      <c r="C40" s="79">
        <f t="shared" si="0"/>
        <v>66</v>
      </c>
      <c r="D40" s="80" t="s">
        <v>120</v>
      </c>
      <c r="E40" s="25"/>
      <c r="F40" s="25"/>
    </row>
    <row r="41" spans="1:6" ht="50.15" customHeight="1" x14ac:dyDescent="0.35">
      <c r="A41" s="40">
        <v>45979</v>
      </c>
      <c r="B41" s="78">
        <v>2</v>
      </c>
      <c r="C41" s="79">
        <f t="shared" si="0"/>
        <v>68</v>
      </c>
      <c r="D41" s="80" t="s">
        <v>121</v>
      </c>
      <c r="E41" s="25"/>
      <c r="F41" s="25"/>
    </row>
    <row r="42" spans="1:6" ht="50.15" customHeight="1" x14ac:dyDescent="0.35">
      <c r="A42" s="40">
        <v>45985</v>
      </c>
      <c r="B42" s="78">
        <v>2</v>
      </c>
      <c r="C42" s="79">
        <f t="shared" si="0"/>
        <v>70</v>
      </c>
      <c r="D42" s="80" t="s">
        <v>122</v>
      </c>
      <c r="E42" s="25"/>
      <c r="F42" s="25"/>
    </row>
    <row r="43" spans="1:6" ht="50.15" customHeight="1" x14ac:dyDescent="0.35">
      <c r="A43" s="40">
        <v>45986</v>
      </c>
      <c r="B43" s="78">
        <v>2</v>
      </c>
      <c r="C43" s="79">
        <f t="shared" si="0"/>
        <v>72</v>
      </c>
      <c r="D43" s="80" t="s">
        <v>123</v>
      </c>
      <c r="E43" s="25"/>
      <c r="F43" s="25"/>
    </row>
    <row r="44" spans="1:6" ht="50.15" customHeight="1" x14ac:dyDescent="0.35">
      <c r="A44" s="40">
        <v>45992</v>
      </c>
      <c r="B44" s="78">
        <v>2</v>
      </c>
      <c r="C44" s="79">
        <f t="shared" si="0"/>
        <v>74</v>
      </c>
      <c r="D44" s="80" t="s">
        <v>124</v>
      </c>
      <c r="E44" s="25"/>
      <c r="F44" s="25"/>
    </row>
    <row r="45" spans="1:6" ht="50.15" customHeight="1" x14ac:dyDescent="0.35">
      <c r="A45" s="40">
        <v>45993</v>
      </c>
      <c r="B45" s="78">
        <v>2</v>
      </c>
      <c r="C45" s="79">
        <f t="shared" si="0"/>
        <v>76</v>
      </c>
      <c r="D45" s="80" t="s">
        <v>125</v>
      </c>
      <c r="E45" s="25"/>
      <c r="F45" s="25"/>
    </row>
    <row r="46" spans="1:6" ht="50.15" customHeight="1" x14ac:dyDescent="0.35">
      <c r="A46" s="40">
        <v>45999</v>
      </c>
      <c r="B46" s="78">
        <v>2</v>
      </c>
      <c r="C46" s="79">
        <f t="shared" si="0"/>
        <v>78</v>
      </c>
      <c r="D46" s="80" t="s">
        <v>126</v>
      </c>
      <c r="E46" s="25"/>
      <c r="F46" s="25"/>
    </row>
    <row r="47" spans="1:6" ht="50.15" customHeight="1" x14ac:dyDescent="0.35">
      <c r="A47" s="40">
        <v>46000</v>
      </c>
      <c r="B47" s="78">
        <v>2</v>
      </c>
      <c r="C47" s="79">
        <f t="shared" si="0"/>
        <v>80</v>
      </c>
      <c r="D47" s="80" t="s">
        <v>127</v>
      </c>
      <c r="E47" s="25"/>
      <c r="F47" s="25"/>
    </row>
    <row r="48" spans="1:6" ht="50.15" customHeight="1" x14ac:dyDescent="0.35">
      <c r="A48" s="40"/>
      <c r="B48" s="41"/>
      <c r="C48" s="42" t="str">
        <f t="shared" ref="C48:C73" si="1">IF(ISBLANK(B48),"",B48+C47)</f>
        <v/>
      </c>
      <c r="D48" s="43"/>
      <c r="E48" s="25"/>
      <c r="F48" s="25"/>
    </row>
    <row r="49" spans="1:6" ht="50.15" customHeight="1" x14ac:dyDescent="0.35">
      <c r="A49" s="40"/>
      <c r="B49" s="41"/>
      <c r="C49" s="42" t="str">
        <f t="shared" si="1"/>
        <v/>
      </c>
      <c r="D49" s="43"/>
      <c r="E49" s="25"/>
      <c r="F49" s="25"/>
    </row>
    <row r="50" spans="1:6" ht="50.15" customHeight="1" x14ac:dyDescent="0.35">
      <c r="A50" s="40"/>
      <c r="B50" s="41"/>
      <c r="C50" s="42" t="str">
        <f t="shared" si="1"/>
        <v/>
      </c>
      <c r="D50" s="43"/>
      <c r="E50" s="25"/>
      <c r="F50" s="25"/>
    </row>
    <row r="51" spans="1:6" ht="50.15" customHeight="1" x14ac:dyDescent="0.35">
      <c r="A51" s="40"/>
      <c r="B51" s="41"/>
      <c r="C51" s="42" t="str">
        <f t="shared" si="1"/>
        <v/>
      </c>
      <c r="D51" s="43"/>
      <c r="E51" s="25"/>
      <c r="F51" s="25"/>
    </row>
    <row r="52" spans="1:6" ht="50.15" customHeight="1" x14ac:dyDescent="0.35">
      <c r="A52" s="40"/>
      <c r="B52" s="41"/>
      <c r="C52" s="42" t="str">
        <f t="shared" si="1"/>
        <v/>
      </c>
      <c r="D52" s="43"/>
      <c r="E52" s="25"/>
      <c r="F52" s="25"/>
    </row>
    <row r="53" spans="1:6" ht="50.15" customHeight="1" x14ac:dyDescent="0.35">
      <c r="A53" s="40"/>
      <c r="B53" s="41"/>
      <c r="C53" s="42" t="str">
        <f t="shared" si="1"/>
        <v/>
      </c>
      <c r="D53" s="43"/>
      <c r="E53" s="25"/>
      <c r="F53" s="25"/>
    </row>
    <row r="54" spans="1:6" ht="50.15" customHeight="1" x14ac:dyDescent="0.35">
      <c r="A54" s="40"/>
      <c r="B54" s="41"/>
      <c r="C54" s="42" t="str">
        <f t="shared" si="1"/>
        <v/>
      </c>
      <c r="D54" s="43"/>
      <c r="E54" s="25"/>
      <c r="F54" s="25"/>
    </row>
    <row r="55" spans="1:6" ht="50.15" customHeight="1" x14ac:dyDescent="0.35">
      <c r="A55" s="40"/>
      <c r="B55" s="41"/>
      <c r="C55" s="42" t="str">
        <f t="shared" si="1"/>
        <v/>
      </c>
      <c r="D55" s="43"/>
      <c r="E55" s="25"/>
      <c r="F55" s="25"/>
    </row>
    <row r="56" spans="1:6" ht="50.15" customHeight="1" x14ac:dyDescent="0.35">
      <c r="A56" s="40"/>
      <c r="B56" s="41"/>
      <c r="C56" s="42" t="str">
        <f t="shared" si="1"/>
        <v/>
      </c>
      <c r="D56" s="43"/>
      <c r="E56" s="25"/>
      <c r="F56" s="25"/>
    </row>
    <row r="57" spans="1:6" ht="50.15" customHeight="1" x14ac:dyDescent="0.35">
      <c r="A57" s="40"/>
      <c r="B57" s="41"/>
      <c r="C57" s="42" t="str">
        <f t="shared" si="1"/>
        <v/>
      </c>
      <c r="D57" s="43"/>
      <c r="E57" s="25"/>
      <c r="F57" s="25"/>
    </row>
    <row r="58" spans="1:6" ht="50.15" customHeight="1" x14ac:dyDescent="0.35">
      <c r="A58" s="40"/>
      <c r="B58" s="41"/>
      <c r="C58" s="42" t="str">
        <f t="shared" si="1"/>
        <v/>
      </c>
      <c r="D58" s="43"/>
      <c r="E58" s="25"/>
      <c r="F58" s="25"/>
    </row>
    <row r="59" spans="1:6" ht="50.15" customHeight="1" x14ac:dyDescent="0.35">
      <c r="A59" s="40"/>
      <c r="B59" s="41"/>
      <c r="C59" s="42" t="str">
        <f t="shared" si="1"/>
        <v/>
      </c>
      <c r="D59" s="43"/>
      <c r="E59" s="25"/>
      <c r="F59" s="25"/>
    </row>
    <row r="60" spans="1:6" ht="50.15" customHeight="1" x14ac:dyDescent="0.35">
      <c r="A60" s="40"/>
      <c r="B60" s="41"/>
      <c r="C60" s="42" t="str">
        <f t="shared" si="1"/>
        <v/>
      </c>
      <c r="D60" s="43"/>
      <c r="E60" s="25"/>
      <c r="F60" s="25"/>
    </row>
    <row r="61" spans="1:6" ht="50.15" customHeight="1" x14ac:dyDescent="0.35">
      <c r="A61" s="40"/>
      <c r="B61" s="41"/>
      <c r="C61" s="42" t="str">
        <f t="shared" si="1"/>
        <v/>
      </c>
      <c r="D61" s="43"/>
      <c r="E61" s="25"/>
      <c r="F61" s="25"/>
    </row>
    <row r="62" spans="1:6" ht="50.15" customHeight="1" x14ac:dyDescent="0.35">
      <c r="A62" s="40"/>
      <c r="B62" s="41"/>
      <c r="C62" s="42" t="str">
        <f t="shared" si="1"/>
        <v/>
      </c>
      <c r="D62" s="43"/>
      <c r="E62" s="25"/>
      <c r="F62" s="25"/>
    </row>
    <row r="63" spans="1:6" ht="50.15" customHeight="1" x14ac:dyDescent="0.35">
      <c r="A63" s="40"/>
      <c r="B63" s="41"/>
      <c r="C63" s="42" t="str">
        <f t="shared" si="1"/>
        <v/>
      </c>
      <c r="D63" s="43"/>
      <c r="E63" s="25"/>
      <c r="F63" s="25"/>
    </row>
    <row r="64" spans="1:6" ht="50.15" customHeight="1" x14ac:dyDescent="0.35">
      <c r="A64" s="40"/>
      <c r="B64" s="41"/>
      <c r="C64" s="42" t="str">
        <f t="shared" si="1"/>
        <v/>
      </c>
      <c r="D64" s="43"/>
      <c r="E64" s="25"/>
      <c r="F64" s="25"/>
    </row>
    <row r="65" spans="1:6" ht="50.15" customHeight="1" x14ac:dyDescent="0.35">
      <c r="A65" s="40"/>
      <c r="B65" s="41"/>
      <c r="C65" s="42" t="str">
        <f t="shared" si="1"/>
        <v/>
      </c>
      <c r="D65" s="43"/>
      <c r="E65" s="25"/>
      <c r="F65" s="25"/>
    </row>
    <row r="66" spans="1:6" ht="50.15" customHeight="1" x14ac:dyDescent="0.35">
      <c r="A66" s="40"/>
      <c r="B66" s="41"/>
      <c r="C66" s="42" t="str">
        <f t="shared" si="1"/>
        <v/>
      </c>
      <c r="D66" s="43"/>
      <c r="E66" s="25"/>
      <c r="F66" s="25"/>
    </row>
    <row r="67" spans="1:6" ht="50.15" customHeight="1" x14ac:dyDescent="0.35">
      <c r="A67" s="40"/>
      <c r="B67" s="41"/>
      <c r="C67" s="42" t="str">
        <f t="shared" si="1"/>
        <v/>
      </c>
      <c r="D67" s="43"/>
      <c r="E67" s="25"/>
      <c r="F67" s="25"/>
    </row>
    <row r="68" spans="1:6" ht="50.15" customHeight="1" x14ac:dyDescent="0.35">
      <c r="A68" s="40"/>
      <c r="B68" s="41"/>
      <c r="C68" s="42" t="str">
        <f t="shared" si="1"/>
        <v/>
      </c>
      <c r="D68" s="43"/>
      <c r="E68" s="25"/>
      <c r="F68" s="25"/>
    </row>
    <row r="69" spans="1:6" ht="50.15" customHeight="1" x14ac:dyDescent="0.35">
      <c r="A69" s="40"/>
      <c r="B69" s="41"/>
      <c r="C69" s="42" t="str">
        <f t="shared" si="1"/>
        <v/>
      </c>
      <c r="D69" s="43"/>
      <c r="E69" s="25"/>
      <c r="F69" s="25"/>
    </row>
    <row r="70" spans="1:6" ht="50.15" customHeight="1" x14ac:dyDescent="0.35">
      <c r="A70" s="40"/>
      <c r="B70" s="41"/>
      <c r="C70" s="42" t="str">
        <f t="shared" si="1"/>
        <v/>
      </c>
      <c r="D70" s="43"/>
      <c r="E70" s="25"/>
      <c r="F70" s="25"/>
    </row>
    <row r="71" spans="1:6" ht="50.15" customHeight="1" x14ac:dyDescent="0.35">
      <c r="A71" s="40"/>
      <c r="B71" s="41"/>
      <c r="C71" s="42" t="str">
        <f t="shared" si="1"/>
        <v/>
      </c>
      <c r="D71" s="43"/>
      <c r="E71" s="25"/>
      <c r="F71" s="25"/>
    </row>
    <row r="72" spans="1:6" ht="50.15" customHeight="1" x14ac:dyDescent="0.35">
      <c r="A72" s="40"/>
      <c r="B72" s="41"/>
      <c r="C72" s="42" t="str">
        <f t="shared" si="1"/>
        <v/>
      </c>
      <c r="D72" s="43"/>
      <c r="E72" s="25"/>
      <c r="F72" s="25"/>
    </row>
    <row r="73" spans="1:6" ht="50.15" customHeight="1" x14ac:dyDescent="0.35">
      <c r="A73" s="40"/>
      <c r="B73" s="41"/>
      <c r="C73" s="42" t="str">
        <f t="shared" si="1"/>
        <v/>
      </c>
      <c r="D73" s="43"/>
      <c r="E73" s="25"/>
      <c r="F73" s="25"/>
    </row>
    <row r="74" spans="1:6" ht="50.15" customHeight="1" x14ac:dyDescent="0.35">
      <c r="A74" s="40"/>
      <c r="B74" s="41"/>
      <c r="C74" s="42" t="str">
        <f t="shared" ref="C74:C99" si="2">IF(ISBLANK(B74),"",B74+C73)</f>
        <v/>
      </c>
      <c r="D74" s="43"/>
      <c r="E74" s="25"/>
      <c r="F74" s="25"/>
    </row>
    <row r="75" spans="1:6" ht="50.15" customHeight="1" x14ac:dyDescent="0.35">
      <c r="A75" s="40"/>
      <c r="B75" s="41"/>
      <c r="C75" s="42" t="str">
        <f t="shared" si="2"/>
        <v/>
      </c>
      <c r="D75" s="43"/>
      <c r="E75" s="25"/>
      <c r="F75" s="25"/>
    </row>
    <row r="76" spans="1:6" ht="50.15" customHeight="1" x14ac:dyDescent="0.35">
      <c r="A76" s="40"/>
      <c r="B76" s="41"/>
      <c r="C76" s="42" t="str">
        <f t="shared" si="2"/>
        <v/>
      </c>
      <c r="D76" s="43"/>
      <c r="E76" s="25"/>
      <c r="F76" s="25"/>
    </row>
    <row r="77" spans="1:6" ht="50.15" customHeight="1" x14ac:dyDescent="0.35">
      <c r="A77" s="40"/>
      <c r="B77" s="41"/>
      <c r="C77" s="42" t="str">
        <f t="shared" si="2"/>
        <v/>
      </c>
      <c r="D77" s="43"/>
      <c r="E77" s="25"/>
      <c r="F77" s="25"/>
    </row>
    <row r="78" spans="1:6" ht="50.15" customHeight="1" x14ac:dyDescent="0.35">
      <c r="A78" s="40"/>
      <c r="B78" s="41"/>
      <c r="C78" s="42" t="str">
        <f t="shared" si="2"/>
        <v/>
      </c>
      <c r="D78" s="43"/>
      <c r="E78" s="25"/>
      <c r="F78" s="25"/>
    </row>
    <row r="79" spans="1:6" ht="50.15" customHeight="1" x14ac:dyDescent="0.35">
      <c r="A79" s="40"/>
      <c r="B79" s="41"/>
      <c r="C79" s="42" t="str">
        <f t="shared" si="2"/>
        <v/>
      </c>
      <c r="D79" s="43"/>
      <c r="E79" s="25"/>
      <c r="F79" s="25"/>
    </row>
    <row r="80" spans="1:6" ht="50.15" customHeight="1" x14ac:dyDescent="0.35">
      <c r="A80" s="40"/>
      <c r="B80" s="41"/>
      <c r="C80" s="42" t="str">
        <f t="shared" si="2"/>
        <v/>
      </c>
      <c r="D80" s="43"/>
      <c r="E80" s="25"/>
      <c r="F80" s="25"/>
    </row>
    <row r="81" spans="1:6" ht="50.15" customHeight="1" x14ac:dyDescent="0.35">
      <c r="A81" s="40"/>
      <c r="B81" s="41"/>
      <c r="C81" s="42" t="str">
        <f t="shared" si="2"/>
        <v/>
      </c>
      <c r="D81" s="43"/>
      <c r="E81" s="25"/>
      <c r="F81" s="25"/>
    </row>
    <row r="82" spans="1:6" ht="50.15" customHeight="1" x14ac:dyDescent="0.35">
      <c r="A82" s="40"/>
      <c r="B82" s="41"/>
      <c r="C82" s="42" t="str">
        <f t="shared" si="2"/>
        <v/>
      </c>
      <c r="D82" s="43"/>
      <c r="E82" s="25"/>
      <c r="F82" s="25"/>
    </row>
    <row r="83" spans="1:6" ht="50.15" customHeight="1" x14ac:dyDescent="0.35">
      <c r="A83" s="40"/>
      <c r="B83" s="41"/>
      <c r="C83" s="42" t="str">
        <f t="shared" si="2"/>
        <v/>
      </c>
      <c r="D83" s="43"/>
      <c r="E83" s="25"/>
      <c r="F83" s="25"/>
    </row>
    <row r="84" spans="1:6" ht="50.15" customHeight="1" x14ac:dyDescent="0.35">
      <c r="A84" s="40"/>
      <c r="B84" s="41"/>
      <c r="C84" s="42" t="str">
        <f t="shared" si="2"/>
        <v/>
      </c>
      <c r="D84" s="43"/>
      <c r="E84" s="25"/>
      <c r="F84" s="25"/>
    </row>
    <row r="85" spans="1:6" ht="50.15" customHeight="1" x14ac:dyDescent="0.35">
      <c r="A85" s="40"/>
      <c r="B85" s="41"/>
      <c r="C85" s="42" t="str">
        <f t="shared" si="2"/>
        <v/>
      </c>
      <c r="D85" s="43"/>
      <c r="E85" s="25"/>
      <c r="F85" s="25"/>
    </row>
    <row r="86" spans="1:6" ht="50.15" customHeight="1" x14ac:dyDescent="0.35">
      <c r="A86" s="40"/>
      <c r="B86" s="41"/>
      <c r="C86" s="42" t="str">
        <f t="shared" si="2"/>
        <v/>
      </c>
      <c r="D86" s="43"/>
      <c r="E86" s="25"/>
      <c r="F86" s="25"/>
    </row>
    <row r="87" spans="1:6" ht="50.15" customHeight="1" x14ac:dyDescent="0.35">
      <c r="A87" s="40"/>
      <c r="B87" s="41"/>
      <c r="C87" s="42" t="str">
        <f t="shared" si="2"/>
        <v/>
      </c>
      <c r="D87" s="43"/>
      <c r="E87" s="25"/>
      <c r="F87" s="25"/>
    </row>
    <row r="88" spans="1:6" ht="50.15" customHeight="1" x14ac:dyDescent="0.35">
      <c r="A88" s="40"/>
      <c r="B88" s="41"/>
      <c r="C88" s="42" t="str">
        <f t="shared" si="2"/>
        <v/>
      </c>
      <c r="D88" s="43"/>
      <c r="E88" s="25"/>
      <c r="F88" s="25"/>
    </row>
    <row r="89" spans="1:6" ht="50.15" customHeight="1" x14ac:dyDescent="0.35">
      <c r="A89" s="40"/>
      <c r="B89" s="41"/>
      <c r="C89" s="42" t="str">
        <f t="shared" si="2"/>
        <v/>
      </c>
      <c r="D89" s="43"/>
      <c r="E89" s="25"/>
      <c r="F89" s="25"/>
    </row>
    <row r="90" spans="1:6" ht="50.15" customHeight="1" x14ac:dyDescent="0.35">
      <c r="A90" s="40"/>
      <c r="B90" s="41"/>
      <c r="C90" s="42" t="str">
        <f t="shared" si="2"/>
        <v/>
      </c>
      <c r="D90" s="43"/>
      <c r="E90" s="25"/>
      <c r="F90" s="25"/>
    </row>
    <row r="91" spans="1:6" ht="50.15" customHeight="1" x14ac:dyDescent="0.35">
      <c r="A91" s="40"/>
      <c r="B91" s="41"/>
      <c r="C91" s="42" t="str">
        <f t="shared" si="2"/>
        <v/>
      </c>
      <c r="D91" s="43"/>
      <c r="E91" s="25"/>
      <c r="F91" s="25"/>
    </row>
    <row r="92" spans="1:6" ht="50.15" customHeight="1" x14ac:dyDescent="0.35">
      <c r="A92" s="40"/>
      <c r="B92" s="41"/>
      <c r="C92" s="42" t="str">
        <f t="shared" si="2"/>
        <v/>
      </c>
      <c r="D92" s="43"/>
      <c r="E92" s="25"/>
      <c r="F92" s="25"/>
    </row>
    <row r="93" spans="1:6" ht="50.15" customHeight="1" x14ac:dyDescent="0.35">
      <c r="A93" s="40"/>
      <c r="B93" s="41"/>
      <c r="C93" s="42" t="str">
        <f t="shared" si="2"/>
        <v/>
      </c>
      <c r="D93" s="43"/>
      <c r="E93" s="25"/>
      <c r="F93" s="25"/>
    </row>
    <row r="94" spans="1:6" ht="50.15" customHeight="1" x14ac:dyDescent="0.35">
      <c r="A94" s="40"/>
      <c r="B94" s="41"/>
      <c r="C94" s="42" t="str">
        <f t="shared" si="2"/>
        <v/>
      </c>
      <c r="D94" s="43"/>
      <c r="E94" s="25"/>
      <c r="F94" s="25"/>
    </row>
    <row r="95" spans="1:6" ht="50.15" customHeight="1" x14ac:dyDescent="0.35">
      <c r="A95" s="40"/>
      <c r="B95" s="41"/>
      <c r="C95" s="42" t="str">
        <f t="shared" si="2"/>
        <v/>
      </c>
      <c r="D95" s="43"/>
      <c r="E95" s="25"/>
      <c r="F95" s="25"/>
    </row>
    <row r="96" spans="1:6" ht="50.15" customHeight="1" x14ac:dyDescent="0.35">
      <c r="A96" s="40"/>
      <c r="B96" s="41"/>
      <c r="C96" s="42" t="str">
        <f t="shared" si="2"/>
        <v/>
      </c>
      <c r="D96" s="43"/>
      <c r="E96" s="25"/>
      <c r="F96" s="25"/>
    </row>
    <row r="97" spans="1:6" ht="50.15" customHeight="1" x14ac:dyDescent="0.35">
      <c r="A97" s="40"/>
      <c r="B97" s="41"/>
      <c r="C97" s="42" t="str">
        <f t="shared" si="2"/>
        <v/>
      </c>
      <c r="D97" s="43"/>
      <c r="E97" s="25"/>
      <c r="F97" s="25"/>
    </row>
    <row r="98" spans="1:6" ht="50.15" customHeight="1" x14ac:dyDescent="0.35">
      <c r="A98" s="40"/>
      <c r="B98" s="41"/>
      <c r="C98" s="42" t="str">
        <f t="shared" si="2"/>
        <v/>
      </c>
      <c r="D98" s="43"/>
      <c r="E98" s="25"/>
      <c r="F98" s="25"/>
    </row>
    <row r="99" spans="1:6" ht="50.15" customHeight="1" x14ac:dyDescent="0.35">
      <c r="A99" s="40"/>
      <c r="B99" s="41"/>
      <c r="C99" s="42" t="str">
        <f t="shared" si="2"/>
        <v/>
      </c>
      <c r="D99" s="43"/>
      <c r="E99" s="25"/>
      <c r="F99" s="25"/>
    </row>
  </sheetData>
  <dataConsolidate/>
  <mergeCells count="1">
    <mergeCell ref="A6:D6"/>
  </mergeCells>
  <phoneticPr fontId="0" type="noConversion"/>
  <hyperlinks>
    <hyperlink ref="A6" r:id="rId1" display="Portal Universitário"/>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4</vt:i4>
      </vt:variant>
    </vt:vector>
  </HeadingPairs>
  <TitlesOfParts>
    <vt:vector size="7" baseType="lpstr">
      <vt:lpstr>M08</vt:lpstr>
      <vt:lpstr>Frequencia</vt:lpstr>
      <vt:lpstr>Aula</vt:lpstr>
      <vt:lpstr>AnoSem</vt:lpstr>
      <vt:lpstr>Curso</vt:lpstr>
      <vt:lpstr>NomeProf</vt:lpstr>
      <vt:lpstr>SiglaDis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Renan Sthel Duque</dc:creator>
  <cp:lastModifiedBy>Renan Sthel Duque</cp:lastModifiedBy>
  <dcterms:created xsi:type="dcterms:W3CDTF">2009-10-27T03:06:39Z</dcterms:created>
  <dcterms:modified xsi:type="dcterms:W3CDTF">2025-10-02T18:36:57Z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Name">
    <vt:lpwstr>*</vt:lpwstr>
  </property>
  <property fmtid="{D5CDD505-2E9C-101B-9397-08002B2CF9AE}" pid="3" name="_AssemblyLocation">
    <vt:lpwstr>{404b729c-e202-46b6-9e45-7f9f981cf9d1}</vt:lpwstr>
  </property>
  <property fmtid="{D5CDD505-2E9C-101B-9397-08002B2CF9AE}" pid="4" name="Class_ParamApp">
    <vt:lpwstr>79=&lt;707;44;?&lt;595?;?;?&lt;?6?94?6469?6?4?4?virer2hyuyi?4?5?5</vt:lpwstr>
  </property>
</Properties>
</file>